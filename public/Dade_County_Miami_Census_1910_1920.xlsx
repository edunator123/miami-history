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https://ransomeverglades-my.sharepoint.com/personal/26edesabrit_ransomeverglades_org/Documents/"/>
    </mc:Choice>
  </mc:AlternateContent>
  <xr:revisionPtr revIDLastSave="262" documentId="8_{0F11F03C-A7A7-CC4D-8D48-FA722CF0547C}" xr6:coauthVersionLast="47" xr6:coauthVersionMax="47" xr10:uidLastSave="{D5B8C99A-920F-5C76-9E07-6E154786E8AF}"/>
  <bookViews>
    <workbookView xWindow="0" yWindow="760" windowWidth="34560" windowHeight="20180" tabRatio="500" activeTab="5" xr2:uid="{00000000-000D-0000-FFFF-FFFF00000000}"/>
  </bookViews>
  <sheets>
    <sheet name="Dashboard" sheetId="1" r:id="rId1"/>
    <sheet name="All FL Counties 1910" sheetId="2" r:id="rId2"/>
    <sheet name="All FL Counties 1920" sheetId="3" r:id="rId3"/>
    <sheet name="1910-1920 Comparison" sheetId="4" r:id="rId4"/>
    <sheet name="Dade County Deep Dive" sheetId="5" r:id="rId5"/>
    <sheet name="Notes &amp; Source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59" i="3" l="1"/>
  <c r="K59" i="3"/>
  <c r="J59" i="3"/>
  <c r="H59" i="3"/>
  <c r="G59" i="3"/>
  <c r="F59" i="3"/>
  <c r="D59" i="3"/>
  <c r="C59" i="3"/>
  <c r="B59" i="3"/>
  <c r="J52" i="2"/>
  <c r="I52" i="2"/>
  <c r="H52" i="2"/>
  <c r="G52" i="2"/>
  <c r="F52" i="2"/>
  <c r="E52" i="2"/>
  <c r="D52" i="2"/>
  <c r="C52" i="2"/>
  <c r="B52" i="2"/>
</calcChain>
</file>

<file path=xl/sharedStrings.xml><?xml version="1.0" encoding="utf-8"?>
<sst xmlns="http://schemas.openxmlformats.org/spreadsheetml/2006/main" count="323" uniqueCount="196">
  <si>
    <t>DADE COUNTY (MIAMI) POPULATION -- 1910 &amp; 1920 CENSUS DASHBOARD</t>
  </si>
  <si>
    <t>Total Pop (1910)</t>
  </si>
  <si>
    <t>Pop 1900</t>
  </si>
  <si>
    <t>Growth 1900-10</t>
  </si>
  <si>
    <t>Urban Pop (1910)</t>
  </si>
  <si>
    <t>White Total (1910)</t>
  </si>
  <si>
    <t>Foreign-Born White</t>
  </si>
  <si>
    <t>2nd Gen White</t>
  </si>
  <si>
    <t>Negro (1910)</t>
  </si>
  <si>
    <t>Imm-Related Share</t>
  </si>
  <si>
    <t>Total Pop (1920)</t>
  </si>
  <si>
    <t>Non-White (1920)</t>
  </si>
  <si>
    <t>1910 WHITE POPULATION BY NATIVITY</t>
  </si>
  <si>
    <t>1910 RACE BY SEX</t>
  </si>
  <si>
    <t>Category</t>
  </si>
  <si>
    <t>Count</t>
  </si>
  <si>
    <t>% of Total Pop</t>
  </si>
  <si>
    <t>% of White Pop</t>
  </si>
  <si>
    <t>Male</t>
  </si>
  <si>
    <t>Female</t>
  </si>
  <si>
    <t>Native-Born, Native Parents</t>
  </si>
  <si>
    <t>White</t>
  </si>
  <si>
    <t>Native-Born, Foreign Parents</t>
  </si>
  <si>
    <t>Negro</t>
  </si>
  <si>
    <t>Native-Born, Mixed Parents</t>
  </si>
  <si>
    <t>Total</t>
  </si>
  <si>
    <t>White Total</t>
  </si>
  <si>
    <t>Negro (Total)</t>
  </si>
  <si>
    <t>Other</t>
  </si>
  <si>
    <t>TOTAL POPULATION</t>
  </si>
  <si>
    <t>1920 POPULATION &amp; HOUSING</t>
  </si>
  <si>
    <t>Metric</t>
  </si>
  <si>
    <t>Value</t>
  </si>
  <si>
    <t>%</t>
  </si>
  <si>
    <t>Total Population</t>
  </si>
  <si>
    <t>White Population</t>
  </si>
  <si>
    <t>Non-White (computed)</t>
  </si>
  <si>
    <t>Total Homes</t>
  </si>
  <si>
    <t>Rented</t>
  </si>
  <si>
    <t>Owned</t>
  </si>
  <si>
    <t>Owned Free &amp; Clear</t>
  </si>
  <si>
    <t>Owned w/ Encumbrance</t>
  </si>
  <si>
    <t>Growth 1910-1920</t>
  </si>
  <si>
    <t>1910 FLORIDA -- ALL COUNTIES: POPULATION, RACE, NATIVITY</t>
  </si>
  <si>
    <t>Source: NHGIS ds37 (1910_cPHA) | 47 counties</t>
  </si>
  <si>
    <t>County</t>
  </si>
  <si>
    <t>Pop (1900)</t>
  </si>
  <si>
    <t>Urban Pop</t>
  </si>
  <si>
    <t>White Native (Native Par.)</t>
  </si>
  <si>
    <t>White Native (Foreign Par.)</t>
  </si>
  <si>
    <t>White Native (Mixed Par.)</t>
  </si>
  <si>
    <t>Negro Total</t>
  </si>
  <si>
    <t>% FB White</t>
  </si>
  <si>
    <t>% Negro</t>
  </si>
  <si>
    <t>% Imm-Related</t>
  </si>
  <si>
    <t>M/F Ratio</t>
  </si>
  <si>
    <t>Hillsborough</t>
  </si>
  <si>
    <t>Duval</t>
  </si>
  <si>
    <t>Escambia</t>
  </si>
  <si>
    <t>Alachua</t>
  </si>
  <si>
    <t>Jackson</t>
  </si>
  <si>
    <t>Marion</t>
  </si>
  <si>
    <t>Polk</t>
  </si>
  <si>
    <t>Gadsden</t>
  </si>
  <si>
    <t>Monroe</t>
  </si>
  <si>
    <t>Leon</t>
  </si>
  <si>
    <t>Orange</t>
  </si>
  <si>
    <t>Suwannee</t>
  </si>
  <si>
    <t>Columbia</t>
  </si>
  <si>
    <t>Jefferson</t>
  </si>
  <si>
    <t>Madison</t>
  </si>
  <si>
    <t>Volusia</t>
  </si>
  <si>
    <t>Walton</t>
  </si>
  <si>
    <t>Washington</t>
  </si>
  <si>
    <t>Santa Rosa</t>
  </si>
  <si>
    <t>DeSoto</t>
  </si>
  <si>
    <t>Bradford</t>
  </si>
  <si>
    <t>St Johns</t>
  </si>
  <si>
    <t>Putnam</t>
  </si>
  <si>
    <t>Dade (MIAMI)</t>
  </si>
  <si>
    <t>Hamilton</t>
  </si>
  <si>
    <t>Holmes</t>
  </si>
  <si>
    <t>Nassau</t>
  </si>
  <si>
    <t>Levy</t>
  </si>
  <si>
    <t>Manatee</t>
  </si>
  <si>
    <t>Lake</t>
  </si>
  <si>
    <t>Pasco</t>
  </si>
  <si>
    <t>Calhoun</t>
  </si>
  <si>
    <t>Taylor</t>
  </si>
  <si>
    <t>Citrus</t>
  </si>
  <si>
    <t>Lafayette</t>
  </si>
  <si>
    <t>Sumter</t>
  </si>
  <si>
    <t>Lee</t>
  </si>
  <si>
    <t>Clay</t>
  </si>
  <si>
    <t>Palm Beach</t>
  </si>
  <si>
    <t>Osceola</t>
  </si>
  <si>
    <t>Franklin</t>
  </si>
  <si>
    <t>Hernando</t>
  </si>
  <si>
    <t>Baker</t>
  </si>
  <si>
    <t>Wakulla</t>
  </si>
  <si>
    <t>Brevard</t>
  </si>
  <si>
    <t>Liberty</t>
  </si>
  <si>
    <t>St Lucie</t>
  </si>
  <si>
    <t>FLORIDA TOTAL</t>
  </si>
  <si>
    <t>1920 FLORIDA -- ALL COUNTIES: POPULATION &amp; HOUSING</t>
  </si>
  <si>
    <t>Source: NHGIS ds43 (1920_cPHAM) | 54 counties</t>
  </si>
  <si>
    <t>White Pop</t>
  </si>
  <si>
    <t>Non-White</t>
  </si>
  <si>
    <t>% White</t>
  </si>
  <si>
    <t>% Owned</t>
  </si>
  <si>
    <t>Owned Free</t>
  </si>
  <si>
    <t>Owned Encumb</t>
  </si>
  <si>
    <t>White Male</t>
  </si>
  <si>
    <t>Pinellas</t>
  </si>
  <si>
    <t>Bay</t>
  </si>
  <si>
    <t>Seminole</t>
  </si>
  <si>
    <t>Okaloosa</t>
  </si>
  <si>
    <t>Broward</t>
  </si>
  <si>
    <t>Flagler</t>
  </si>
  <si>
    <t>Okeechobee</t>
  </si>
  <si>
    <t>FLORIDA COUNTIES: 1910 vs 1920 COMPARISON</t>
  </si>
  <si>
    <t>Counties present in both census years | Population growth and racial composition shifts</t>
  </si>
  <si>
    <t>Pop 1910</t>
  </si>
  <si>
    <t>Pop 1920</t>
  </si>
  <si>
    <t>Pop Change</t>
  </si>
  <si>
    <t>% Change</t>
  </si>
  <si>
    <t>Negro 1910</t>
  </si>
  <si>
    <t>% Negro 1910</t>
  </si>
  <si>
    <t>Non-White 1920</t>
  </si>
  <si>
    <t>% Non-White 1920</t>
  </si>
  <si>
    <t>White 1910</t>
  </si>
  <si>
    <t>White 1920</t>
  </si>
  <si>
    <t>White Growth %</t>
  </si>
  <si>
    <t>DADE COUNTY (MIAMI) -- DETAILED ANALYSIS</t>
  </si>
  <si>
    <t>POPULATION TIMELINE</t>
  </si>
  <si>
    <t>Year</t>
  </si>
  <si>
    <t>Population</t>
  </si>
  <si>
    <t>Change</t>
  </si>
  <si>
    <t>1910 COMPLETE BREAKDOWN</t>
  </si>
  <si>
    <t>% of Total</t>
  </si>
  <si>
    <t>Notes</t>
  </si>
  <si>
    <t>White, Native-Born (Native Parents)</t>
  </si>
  <si>
    <t>3rd+ generation</t>
  </si>
  <si>
    <t>White, Native-Born (Foreign Parents)</t>
  </si>
  <si>
    <t>2nd gen, both parents foreign</t>
  </si>
  <si>
    <t>White, Native-Born (Mixed Parents)</t>
  </si>
  <si>
    <t>2nd gen, one foreign parent</t>
  </si>
  <si>
    <t>White, Foreign-Born</t>
  </si>
  <si>
    <t>1st generation immigrants</t>
  </si>
  <si>
    <t>WHITE SUBTOTAL</t>
  </si>
  <si>
    <t>Negro, Male</t>
  </si>
  <si>
    <t>Negro, Female</t>
  </si>
  <si>
    <t>NEGRO SUBTOTAL</t>
  </si>
  <si>
    <t>Incl. Bahamian-born Black residents</t>
  </si>
  <si>
    <t>TOTAL</t>
  </si>
  <si>
    <t>258% growth</t>
  </si>
  <si>
    <t>No further breakdown in extract</t>
  </si>
  <si>
    <t xml:space="preserve">  Owned Free &amp; Clear</t>
  </si>
  <si>
    <t xml:space="preserve">  Owned w/ Encumbrance</t>
  </si>
  <si>
    <t xml:space="preserve">  Ownership Unknown</t>
  </si>
  <si>
    <t>Tenure Unknown</t>
  </si>
  <si>
    <t>DADE VS FLORIDA</t>
  </si>
  <si>
    <t>Dade</t>
  </si>
  <si>
    <t>Florida Total</t>
  </si>
  <si>
    <t>Dade % of FL</t>
  </si>
  <si>
    <t>1910 Total Pop</t>
  </si>
  <si>
    <t>1910 FB White</t>
  </si>
  <si>
    <t>1910 Negro</t>
  </si>
  <si>
    <t>1920 Total Pop</t>
  </si>
  <si>
    <t>1920 White</t>
  </si>
  <si>
    <t>DATA NOTES, DEFINITIONS &amp; SOURCES</t>
  </si>
  <si>
    <t>SOURCE DATASETS</t>
  </si>
  <si>
    <t>ds36 (1910_cAg)</t>
  </si>
  <si>
    <t>NHGIS Dataset 36: 1910 Census Agriculture Data. Table A0E: Total Population by Year.</t>
  </si>
  <si>
    <t>ds37 (1910_cPHA)</t>
  </si>
  <si>
    <t>NHGIS Dataset 37: 1910 Census Pop/Housing/Ag. Tables A3Y, A36, A5B, A3Z, A30.</t>
  </si>
  <si>
    <t>ds43 (1920_cPHAM)</t>
  </si>
  <si>
    <t>NHGIS Dataset 43: 1920 Census Pop/Housing/Ag/Mfg. Tables A81-A86.</t>
  </si>
  <si>
    <t>KEY DEFINITIONS</t>
  </si>
  <si>
    <t>White persons born in U.S. with both parents U.S.-born.</t>
  </si>
  <si>
    <t>White persons born in U.S. with both parents foreign-born.</t>
  </si>
  <si>
    <t>White persons born in U.S. with one foreign-born parent.</t>
  </si>
  <si>
    <t>White persons born outside the United States.</t>
  </si>
  <si>
    <t>Computed: Total Pop minus White Pop. No further breakdown in this extract.</t>
  </si>
  <si>
    <t>GEOGRAPHIC NOTES</t>
  </si>
  <si>
    <t>Dade County</t>
  </si>
  <si>
    <t>Incorporated 1836. City of Miami incorporated 1896. Urban pop 5,471 in 1910.</t>
  </si>
  <si>
    <t>County Changes</t>
  </si>
  <si>
    <t>FL had 47 counties in 1910, 54 in 1920. New counties created between censuses.</t>
  </si>
  <si>
    <t>LIMITATIONS</t>
  </si>
  <si>
    <t>County-level only</t>
  </si>
  <si>
    <t>No sub-county/tract data in this extract.</t>
  </si>
  <si>
    <t>No country-of-birth</t>
  </si>
  <si>
    <t>Unlike NYC tract data, no foreign-born breakdown by country of origin.</t>
  </si>
  <si>
    <t>1920 race detail</t>
  </si>
  <si>
    <t>Only white totals available; non-white must be inferred.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</si>
</sst>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b/>
      <sz val="14"/>
      <color rgb="FF1F4E79"/>
      <name val="Arial"/>
      <family val="2"/>
    </font>
    <font>
      <i/>
      <sz val="9"/>
      <color rgb="FF808080"/>
      <name val="Arial"/>
      <family val="2"/>
    </font>
    <font>
      <b/>
      <sz val="9"/>
      <color rgb="FFFFFFFF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3"/>
      <color rgb="FF1F4E79"/>
      <name val="Arial"/>
      <family val="2"/>
    </font>
    <font>
      <b/>
      <sz val="10"/>
      <name val="Arial"/>
      <family val="2"/>
    </font>
    <font>
      <i/>
      <sz val="9"/>
      <color rgb="FF666666"/>
      <name val="Arial"/>
      <family val="2"/>
    </font>
    <font>
      <i/>
      <sz val="9"/>
      <color rgb="FF808080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/>
    <xf numFmtId="0" fontId="3" fillId="3" borderId="0" xfId="0" applyFont="1" applyFill="1" applyAlignment="1">
      <alignment horizontal="center" vertical="center" wrapText="1"/>
    </xf>
    <xf numFmtId="0" fontId="6" fillId="0" borderId="0" xfId="0" applyFont="1"/>
    <xf numFmtId="3" fontId="6" fillId="0" borderId="0" xfId="0" applyNumberFormat="1" applyFont="1"/>
    <xf numFmtId="164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164" fontId="7" fillId="0" borderId="0" xfId="0" applyNumberFormat="1" applyFont="1"/>
    <xf numFmtId="0" fontId="8" fillId="0" borderId="0" xfId="0" applyFont="1"/>
    <xf numFmtId="2" fontId="6" fillId="0" borderId="0" xfId="0" applyNumberFormat="1" applyFont="1"/>
    <xf numFmtId="0" fontId="7" fillId="4" borderId="0" xfId="0" applyFont="1" applyFill="1"/>
    <xf numFmtId="3" fontId="7" fillId="4" borderId="0" xfId="0" applyNumberFormat="1" applyFont="1" applyFill="1"/>
    <xf numFmtId="164" fontId="7" fillId="4" borderId="0" xfId="0" applyNumberFormat="1" applyFont="1" applyFill="1"/>
    <xf numFmtId="2" fontId="7" fillId="4" borderId="0" xfId="0" applyNumberFormat="1" applyFont="1" applyFill="1"/>
    <xf numFmtId="0" fontId="9" fillId="0" borderId="0" xfId="0" applyFont="1"/>
    <xf numFmtId="1" fontId="6" fillId="0" borderId="0" xfId="0" applyNumberFormat="1" applyFont="1"/>
    <xf numFmtId="0" fontId="10" fillId="0" borderId="0" xfId="0" applyFont="1"/>
    <xf numFmtId="10" fontId="6" fillId="0" borderId="0" xfId="0" applyNumberFormat="1" applyFont="1"/>
    <xf numFmtId="0" fontId="6" fillId="0" borderId="0" xfId="0" applyFont="1" applyAlignment="1">
      <alignment vertical="top" wrapText="1"/>
    </xf>
    <xf numFmtId="0" fontId="11" fillId="0" borderId="0" xfId="0" applyFont="1"/>
    <xf numFmtId="0" fontId="12" fillId="2" borderId="0" xfId="0" applyFont="1" applyFill="1" applyAlignment="1">
      <alignment horizontal="center" vertical="center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8480A0-B2B0-A64A-9AF2-D5D38F004773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zoomScale="139" zoomScaleNormal="100" workbookViewId="0">
      <selection activeCell="D4" sqref="D4"/>
    </sheetView>
  </sheetViews>
  <sheetFormatPr baseColWidth="10" defaultColWidth="8.6640625" defaultRowHeight="15" x14ac:dyDescent="0.2"/>
  <cols>
    <col min="1" max="1" width="32" customWidth="1"/>
    <col min="2" max="6" width="14" customWidth="1"/>
    <col min="7" max="8" width="12" customWidth="1"/>
    <col min="9" max="11" width="14" customWidth="1"/>
  </cols>
  <sheetData>
    <row r="1" spans="1:11" ht="18" x14ac:dyDescent="0.2">
      <c r="A1" s="1" t="s">
        <v>0</v>
      </c>
    </row>
    <row r="2" spans="1:11" x14ac:dyDescent="0.2">
      <c r="A2" s="25"/>
    </row>
    <row r="4" spans="1:11" ht="26" x14ac:dyDescent="0.2">
      <c r="A4" s="3" t="s">
        <v>1</v>
      </c>
      <c r="B4" s="26" t="s">
        <v>2</v>
      </c>
      <c r="C4" s="26" t="s">
        <v>3</v>
      </c>
      <c r="D4" s="26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spans="1:11" ht="16" x14ac:dyDescent="0.2">
      <c r="A5" s="4">
        <v>11933</v>
      </c>
      <c r="B5" s="4">
        <v>3888</v>
      </c>
      <c r="C5" s="5">
        <v>2.0691872427983502</v>
      </c>
      <c r="D5" s="4">
        <v>5471</v>
      </c>
      <c r="E5" s="4">
        <v>7734</v>
      </c>
      <c r="F5" s="4">
        <v>724</v>
      </c>
      <c r="G5" s="4">
        <v>1019</v>
      </c>
      <c r="H5" s="4">
        <v>4194</v>
      </c>
      <c r="I5" s="5">
        <v>0.14606553255677501</v>
      </c>
      <c r="J5" s="4">
        <v>42753</v>
      </c>
      <c r="K5" s="4">
        <v>12770</v>
      </c>
    </row>
    <row r="7" spans="1:11" x14ac:dyDescent="0.2">
      <c r="A7" s="6" t="s">
        <v>12</v>
      </c>
      <c r="F7" s="6" t="s">
        <v>13</v>
      </c>
    </row>
    <row r="8" spans="1:11" x14ac:dyDescent="0.2">
      <c r="A8" s="7" t="s">
        <v>14</v>
      </c>
      <c r="B8" s="7" t="s">
        <v>15</v>
      </c>
      <c r="C8" s="7" t="s">
        <v>16</v>
      </c>
      <c r="D8" s="7" t="s">
        <v>17</v>
      </c>
      <c r="F8" s="7" t="s">
        <v>14</v>
      </c>
      <c r="G8" s="7" t="s">
        <v>18</v>
      </c>
      <c r="H8" s="7" t="s">
        <v>19</v>
      </c>
    </row>
    <row r="9" spans="1:11" x14ac:dyDescent="0.2">
      <c r="A9" s="8" t="s">
        <v>20</v>
      </c>
      <c r="B9" s="9">
        <v>5991</v>
      </c>
      <c r="C9" s="10">
        <v>0.50205312997569795</v>
      </c>
      <c r="D9" s="10">
        <v>0.77463149728471703</v>
      </c>
      <c r="F9" s="8" t="s">
        <v>21</v>
      </c>
      <c r="G9" s="9">
        <v>4237</v>
      </c>
      <c r="H9" s="9">
        <v>3497</v>
      </c>
    </row>
    <row r="10" spans="1:11" x14ac:dyDescent="0.2">
      <c r="A10" s="8" t="s">
        <v>22</v>
      </c>
      <c r="B10" s="9">
        <v>495</v>
      </c>
      <c r="C10" s="10">
        <v>4.1481605631442202E-2</v>
      </c>
      <c r="D10" s="10">
        <v>6.4003103180760301E-2</v>
      </c>
      <c r="F10" s="8" t="s">
        <v>23</v>
      </c>
      <c r="G10" s="9">
        <v>2285</v>
      </c>
      <c r="H10" s="9">
        <v>1909</v>
      </c>
    </row>
    <row r="11" spans="1:11" x14ac:dyDescent="0.2">
      <c r="A11" s="8" t="s">
        <v>24</v>
      </c>
      <c r="B11" s="9">
        <v>524</v>
      </c>
      <c r="C11" s="10">
        <v>4.3911841112880302E-2</v>
      </c>
      <c r="D11" s="10">
        <v>6.7752779932764406E-2</v>
      </c>
      <c r="F11" s="11" t="s">
        <v>25</v>
      </c>
      <c r="G11" s="12">
        <v>6527</v>
      </c>
      <c r="H11" s="12">
        <v>5406</v>
      </c>
    </row>
    <row r="12" spans="1:11" x14ac:dyDescent="0.2">
      <c r="A12" s="8" t="s">
        <v>6</v>
      </c>
      <c r="B12" s="9">
        <v>724</v>
      </c>
      <c r="C12" s="10">
        <v>6.0672085812452897E-2</v>
      </c>
      <c r="D12" s="10">
        <v>9.3612619601758498E-2</v>
      </c>
    </row>
    <row r="13" spans="1:11" x14ac:dyDescent="0.2">
      <c r="A13" s="11" t="s">
        <v>26</v>
      </c>
      <c r="B13" s="12">
        <v>7734</v>
      </c>
      <c r="C13" s="13">
        <v>0.64811866253247297</v>
      </c>
      <c r="D13" s="13">
        <v>1</v>
      </c>
    </row>
    <row r="14" spans="1:11" x14ac:dyDescent="0.2">
      <c r="A14" s="8" t="s">
        <v>27</v>
      </c>
      <c r="B14" s="9">
        <v>4194</v>
      </c>
      <c r="C14" s="10">
        <v>0.35146233135003802</v>
      </c>
    </row>
    <row r="15" spans="1:11" x14ac:dyDescent="0.2">
      <c r="A15" s="8" t="s">
        <v>28</v>
      </c>
      <c r="B15" s="9">
        <v>5</v>
      </c>
      <c r="C15" s="10">
        <v>4.1900611748931502E-4</v>
      </c>
    </row>
    <row r="16" spans="1:11" x14ac:dyDescent="0.2">
      <c r="A16" s="11" t="s">
        <v>29</v>
      </c>
      <c r="B16" s="12">
        <v>11933</v>
      </c>
      <c r="C16" s="13">
        <v>1</v>
      </c>
    </row>
    <row r="18" spans="1:3" x14ac:dyDescent="0.2">
      <c r="A18" s="6" t="s">
        <v>30</v>
      </c>
    </row>
    <row r="19" spans="1:3" x14ac:dyDescent="0.2">
      <c r="A19" s="7" t="s">
        <v>31</v>
      </c>
      <c r="B19" s="7" t="s">
        <v>32</v>
      </c>
      <c r="C19" s="7" t="s">
        <v>33</v>
      </c>
    </row>
    <row r="20" spans="1:3" x14ac:dyDescent="0.2">
      <c r="A20" s="8" t="s">
        <v>34</v>
      </c>
      <c r="B20" s="9">
        <v>42753</v>
      </c>
    </row>
    <row r="21" spans="1:3" x14ac:dyDescent="0.2">
      <c r="A21" s="8" t="s">
        <v>35</v>
      </c>
      <c r="B21" s="9">
        <v>29983</v>
      </c>
      <c r="C21" s="10">
        <v>0.70130751058405305</v>
      </c>
    </row>
    <row r="22" spans="1:3" x14ac:dyDescent="0.2">
      <c r="A22" s="8" t="s">
        <v>36</v>
      </c>
      <c r="B22" s="9">
        <v>12770</v>
      </c>
      <c r="C22" s="10">
        <v>0.298692489415947</v>
      </c>
    </row>
    <row r="23" spans="1:3" x14ac:dyDescent="0.2">
      <c r="A23" s="8" t="s">
        <v>37</v>
      </c>
      <c r="B23" s="9">
        <v>11014</v>
      </c>
    </row>
    <row r="24" spans="1:3" x14ac:dyDescent="0.2">
      <c r="A24" s="8" t="s">
        <v>38</v>
      </c>
      <c r="B24" s="9">
        <v>6095</v>
      </c>
      <c r="C24" s="10">
        <v>0.55338659887415997</v>
      </c>
    </row>
    <row r="25" spans="1:3" x14ac:dyDescent="0.2">
      <c r="A25" s="8" t="s">
        <v>39</v>
      </c>
      <c r="B25" s="9">
        <v>4388</v>
      </c>
      <c r="C25" s="10">
        <v>0.39840203377519501</v>
      </c>
    </row>
    <row r="26" spans="1:3" x14ac:dyDescent="0.2">
      <c r="A26" s="8" t="s">
        <v>40</v>
      </c>
      <c r="B26" s="9">
        <v>1695</v>
      </c>
      <c r="C26" s="10">
        <v>0.38628076572470399</v>
      </c>
    </row>
    <row r="27" spans="1:3" x14ac:dyDescent="0.2">
      <c r="A27" s="8" t="s">
        <v>41</v>
      </c>
      <c r="B27" s="9">
        <v>96</v>
      </c>
      <c r="C27" s="10">
        <v>2.18778486782133E-2</v>
      </c>
    </row>
    <row r="28" spans="1:3" x14ac:dyDescent="0.2">
      <c r="A28" s="8" t="s">
        <v>42</v>
      </c>
      <c r="B28" s="9">
        <v>30820</v>
      </c>
      <c r="C28" s="10">
        <v>2.5827537082041401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2"/>
  <sheetViews>
    <sheetView zoomScale="102" zoomScaleNormal="100" workbookViewId="0">
      <selection activeCell="E34" sqref="E34"/>
    </sheetView>
  </sheetViews>
  <sheetFormatPr baseColWidth="10" defaultColWidth="8.6640625" defaultRowHeight="15" x14ac:dyDescent="0.2"/>
  <cols>
    <col min="1" max="1" width="22" customWidth="1"/>
    <col min="2" max="2" width="12" customWidth="1"/>
    <col min="3" max="4" width="10" customWidth="1"/>
    <col min="5" max="7" width="14" customWidth="1"/>
    <col min="8" max="8" width="12" customWidth="1"/>
    <col min="9" max="9" width="10" customWidth="1"/>
    <col min="10" max="10" width="8" customWidth="1"/>
    <col min="11" max="12" width="10" customWidth="1"/>
    <col min="13" max="13" width="12" customWidth="1"/>
    <col min="14" max="14" width="10" customWidth="1"/>
  </cols>
  <sheetData>
    <row r="1" spans="1:14" ht="17" x14ac:dyDescent="0.2">
      <c r="A1" s="14" t="s">
        <v>43</v>
      </c>
    </row>
    <row r="2" spans="1:14" x14ac:dyDescent="0.2">
      <c r="A2" s="2" t="s">
        <v>44</v>
      </c>
    </row>
    <row r="4" spans="1:14" ht="26" x14ac:dyDescent="0.2">
      <c r="A4" s="7" t="s">
        <v>45</v>
      </c>
      <c r="B4" s="7" t="s">
        <v>1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50</v>
      </c>
      <c r="H4" s="7" t="s">
        <v>6</v>
      </c>
      <c r="I4" s="7" t="s">
        <v>51</v>
      </c>
      <c r="J4" s="7" t="s">
        <v>28</v>
      </c>
      <c r="K4" s="7" t="s">
        <v>52</v>
      </c>
      <c r="L4" s="7" t="s">
        <v>53</v>
      </c>
      <c r="M4" s="7" t="s">
        <v>54</v>
      </c>
      <c r="N4" s="7" t="s">
        <v>55</v>
      </c>
    </row>
    <row r="5" spans="1:14" x14ac:dyDescent="0.2">
      <c r="A5" s="8" t="s">
        <v>56</v>
      </c>
      <c r="B5" s="9">
        <v>78374</v>
      </c>
      <c r="C5" s="9">
        <v>36013</v>
      </c>
      <c r="D5" s="9">
        <v>50167</v>
      </c>
      <c r="E5" s="9">
        <v>33954</v>
      </c>
      <c r="F5" s="9">
        <v>7987</v>
      </c>
      <c r="G5" s="9">
        <v>2963</v>
      </c>
      <c r="H5" s="9">
        <v>16967</v>
      </c>
      <c r="I5" s="9">
        <v>16445</v>
      </c>
      <c r="J5" s="9">
        <v>58</v>
      </c>
      <c r="K5" s="10">
        <v>0.216487610687218</v>
      </c>
      <c r="L5" s="10">
        <v>0.20982723862505401</v>
      </c>
      <c r="M5" s="10">
        <v>0.35620231199122199</v>
      </c>
      <c r="N5" s="15">
        <v>1.1410736238218799</v>
      </c>
    </row>
    <row r="6" spans="1:14" x14ac:dyDescent="0.2">
      <c r="A6" s="8" t="s">
        <v>57</v>
      </c>
      <c r="B6" s="9">
        <v>75163</v>
      </c>
      <c r="C6" s="9">
        <v>39733</v>
      </c>
      <c r="D6" s="9">
        <v>57699</v>
      </c>
      <c r="E6" s="9">
        <v>30769</v>
      </c>
      <c r="F6" s="9">
        <v>2010</v>
      </c>
      <c r="G6" s="9">
        <v>1967</v>
      </c>
      <c r="H6" s="9">
        <v>3052</v>
      </c>
      <c r="I6" s="9">
        <v>37270</v>
      </c>
      <c r="J6" s="9">
        <v>95</v>
      </c>
      <c r="K6" s="10">
        <v>4.0605084948711498E-2</v>
      </c>
      <c r="L6" s="10">
        <v>0.495855673669226</v>
      </c>
      <c r="M6" s="10">
        <v>9.3516756914971494E-2</v>
      </c>
      <c r="N6" s="15">
        <v>1.0645205592331199</v>
      </c>
    </row>
    <row r="7" spans="1:14" x14ac:dyDescent="0.2">
      <c r="A7" s="8" t="s">
        <v>58</v>
      </c>
      <c r="B7" s="9">
        <v>38029</v>
      </c>
      <c r="C7" s="9">
        <v>28313</v>
      </c>
      <c r="D7" s="9">
        <v>22982</v>
      </c>
      <c r="E7" s="9">
        <v>18917</v>
      </c>
      <c r="F7" s="9">
        <v>1157</v>
      </c>
      <c r="G7" s="9">
        <v>1596</v>
      </c>
      <c r="H7" s="9">
        <v>1234</v>
      </c>
      <c r="I7" s="9">
        <v>15111</v>
      </c>
      <c r="J7" s="9">
        <v>14</v>
      </c>
      <c r="K7" s="10">
        <v>3.2448920560624803E-2</v>
      </c>
      <c r="L7" s="10">
        <v>0.39735465039838003</v>
      </c>
      <c r="M7" s="10">
        <v>0.104841042362408</v>
      </c>
      <c r="N7" s="15">
        <v>1.01970364862712</v>
      </c>
    </row>
    <row r="8" spans="1:14" x14ac:dyDescent="0.2">
      <c r="A8" s="8" t="s">
        <v>59</v>
      </c>
      <c r="B8" s="9">
        <v>34305</v>
      </c>
      <c r="C8" s="9">
        <v>32245</v>
      </c>
      <c r="D8" s="9">
        <v>6183</v>
      </c>
      <c r="E8" s="9">
        <v>14599</v>
      </c>
      <c r="F8" s="9">
        <v>133</v>
      </c>
      <c r="G8" s="9">
        <v>249</v>
      </c>
      <c r="H8" s="9">
        <v>231</v>
      </c>
      <c r="I8" s="9">
        <v>19092</v>
      </c>
      <c r="J8" s="9">
        <v>1</v>
      </c>
      <c r="K8" s="10">
        <v>6.7337122868386503E-3</v>
      </c>
      <c r="L8" s="10">
        <v>0.556536947966769</v>
      </c>
      <c r="M8" s="10">
        <v>1.7869115289316399E-2</v>
      </c>
      <c r="N8" s="15">
        <v>1.07255920734654</v>
      </c>
    </row>
    <row r="9" spans="1:14" x14ac:dyDescent="0.2">
      <c r="A9" s="8" t="s">
        <v>60</v>
      </c>
      <c r="B9" s="9">
        <v>29821</v>
      </c>
      <c r="C9" s="9">
        <v>23377</v>
      </c>
      <c r="D9" s="9">
        <v>0</v>
      </c>
      <c r="E9" s="9">
        <v>15502</v>
      </c>
      <c r="F9" s="9">
        <v>12</v>
      </c>
      <c r="G9" s="9">
        <v>32</v>
      </c>
      <c r="H9" s="9">
        <v>20</v>
      </c>
      <c r="I9" s="9">
        <v>14254</v>
      </c>
      <c r="J9" s="9">
        <v>1</v>
      </c>
      <c r="K9" s="10">
        <v>6.7066832098185798E-4</v>
      </c>
      <c r="L9" s="10">
        <v>0.47798531236377101</v>
      </c>
      <c r="M9" s="10">
        <v>2.14613862714195E-3</v>
      </c>
      <c r="N9" s="15">
        <v>0.99032236534739404</v>
      </c>
    </row>
    <row r="10" spans="1:14" x14ac:dyDescent="0.2">
      <c r="A10" s="8" t="s">
        <v>61</v>
      </c>
      <c r="B10" s="9">
        <v>26941</v>
      </c>
      <c r="C10" s="9">
        <v>24403</v>
      </c>
      <c r="D10" s="9">
        <v>4370</v>
      </c>
      <c r="E10" s="9">
        <v>9663</v>
      </c>
      <c r="F10" s="9">
        <v>238</v>
      </c>
      <c r="G10" s="9">
        <v>321</v>
      </c>
      <c r="H10" s="9">
        <v>341</v>
      </c>
      <c r="I10" s="9">
        <v>16376</v>
      </c>
      <c r="J10" s="9">
        <v>2</v>
      </c>
      <c r="K10" s="10">
        <v>1.2657288148175599E-2</v>
      </c>
      <c r="L10" s="10">
        <v>0.60784677628892803</v>
      </c>
      <c r="M10" s="10">
        <v>3.3406332355888801E-2</v>
      </c>
      <c r="N10" s="15">
        <v>1.09478267630822</v>
      </c>
    </row>
    <row r="11" spans="1:14" x14ac:dyDescent="0.2">
      <c r="A11" s="8" t="s">
        <v>62</v>
      </c>
      <c r="B11" s="9">
        <v>24148</v>
      </c>
      <c r="C11" s="9">
        <v>12472</v>
      </c>
      <c r="D11" s="9">
        <v>6381</v>
      </c>
      <c r="E11" s="9">
        <v>15663</v>
      </c>
      <c r="F11" s="9">
        <v>222</v>
      </c>
      <c r="G11" s="9">
        <v>375</v>
      </c>
      <c r="H11" s="9">
        <v>450</v>
      </c>
      <c r="I11" s="9">
        <v>7419</v>
      </c>
      <c r="J11" s="9">
        <v>19</v>
      </c>
      <c r="K11" s="10">
        <v>1.8635083650819902E-2</v>
      </c>
      <c r="L11" s="10">
        <v>0.307230412456518</v>
      </c>
      <c r="M11" s="10">
        <v>4.3357627960907703E-2</v>
      </c>
      <c r="N11" s="15">
        <v>1.24925484351714</v>
      </c>
    </row>
    <row r="12" spans="1:14" x14ac:dyDescent="0.2">
      <c r="A12" s="8" t="s">
        <v>63</v>
      </c>
      <c r="B12" s="9">
        <v>22198</v>
      </c>
      <c r="C12" s="9">
        <v>15294</v>
      </c>
      <c r="D12" s="9">
        <v>3204</v>
      </c>
      <c r="E12" s="9">
        <v>6943</v>
      </c>
      <c r="F12" s="9">
        <v>79</v>
      </c>
      <c r="G12" s="9">
        <v>78</v>
      </c>
      <c r="H12" s="9">
        <v>130</v>
      </c>
      <c r="I12" s="9">
        <v>14965</v>
      </c>
      <c r="J12" s="9">
        <v>3</v>
      </c>
      <c r="K12" s="10">
        <v>5.8563834579691901E-3</v>
      </c>
      <c r="L12" s="10">
        <v>0.67415983421929904</v>
      </c>
      <c r="M12" s="10">
        <v>1.29290927110551E-2</v>
      </c>
      <c r="N12" s="15">
        <v>0.97473534383061999</v>
      </c>
    </row>
    <row r="13" spans="1:14" x14ac:dyDescent="0.2">
      <c r="A13" s="8" t="s">
        <v>64</v>
      </c>
      <c r="B13" s="9">
        <v>21563</v>
      </c>
      <c r="C13" s="9">
        <v>18006</v>
      </c>
      <c r="D13" s="9">
        <v>19945</v>
      </c>
      <c r="E13" s="9">
        <v>3629</v>
      </c>
      <c r="F13" s="9">
        <v>4129</v>
      </c>
      <c r="G13" s="9">
        <v>2700</v>
      </c>
      <c r="H13" s="9">
        <v>5242</v>
      </c>
      <c r="I13" s="9">
        <v>5842</v>
      </c>
      <c r="J13" s="9">
        <v>21</v>
      </c>
      <c r="K13" s="10">
        <v>0.243101609238047</v>
      </c>
      <c r="L13" s="10">
        <v>0.27092705096693398</v>
      </c>
      <c r="M13" s="10">
        <v>0.55980151184900095</v>
      </c>
      <c r="N13" s="15">
        <v>1.09247937894226</v>
      </c>
    </row>
    <row r="14" spans="1:14" x14ac:dyDescent="0.2">
      <c r="A14" s="8" t="s">
        <v>65</v>
      </c>
      <c r="B14" s="9">
        <v>19427</v>
      </c>
      <c r="C14" s="9">
        <v>19887</v>
      </c>
      <c r="D14" s="9">
        <v>5018</v>
      </c>
      <c r="E14" s="9">
        <v>4424</v>
      </c>
      <c r="F14" s="9">
        <v>62</v>
      </c>
      <c r="G14" s="9">
        <v>102</v>
      </c>
      <c r="H14" s="9">
        <v>109</v>
      </c>
      <c r="I14" s="9">
        <v>14726</v>
      </c>
      <c r="J14" s="9">
        <v>4</v>
      </c>
      <c r="K14" s="10">
        <v>5.6107479281412498E-3</v>
      </c>
      <c r="L14" s="10">
        <v>0.75801719256704603</v>
      </c>
      <c r="M14" s="10">
        <v>1.40526071961703E-2</v>
      </c>
      <c r="N14" s="15">
        <v>1.0686827813864299</v>
      </c>
    </row>
    <row r="15" spans="1:14" x14ac:dyDescent="0.2">
      <c r="A15" s="8" t="s">
        <v>66</v>
      </c>
      <c r="B15" s="9">
        <v>19107</v>
      </c>
      <c r="C15" s="9">
        <v>11374</v>
      </c>
      <c r="D15" s="9">
        <v>7464</v>
      </c>
      <c r="E15" s="9">
        <v>9810</v>
      </c>
      <c r="F15" s="9">
        <v>579</v>
      </c>
      <c r="G15" s="9">
        <v>398</v>
      </c>
      <c r="H15" s="9">
        <v>713</v>
      </c>
      <c r="I15" s="9">
        <v>7604</v>
      </c>
      <c r="J15" s="9">
        <v>3</v>
      </c>
      <c r="K15" s="10">
        <v>3.7316166849845601E-2</v>
      </c>
      <c r="L15" s="10">
        <v>0.397969330611818</v>
      </c>
      <c r="M15" s="10">
        <v>8.8449259433715399E-2</v>
      </c>
      <c r="N15" s="15">
        <v>1.10221146440753</v>
      </c>
    </row>
    <row r="16" spans="1:14" x14ac:dyDescent="0.2">
      <c r="A16" s="8" t="s">
        <v>67</v>
      </c>
      <c r="B16" s="9">
        <v>18603</v>
      </c>
      <c r="C16" s="9">
        <v>14554</v>
      </c>
      <c r="D16" s="9">
        <v>3450</v>
      </c>
      <c r="E16" s="9">
        <v>10697</v>
      </c>
      <c r="F16" s="9">
        <v>22</v>
      </c>
      <c r="G16" s="9">
        <v>24</v>
      </c>
      <c r="H16" s="9">
        <v>47</v>
      </c>
      <c r="I16" s="9">
        <v>7813</v>
      </c>
      <c r="J16" s="9">
        <v>0</v>
      </c>
      <c r="K16" s="10">
        <v>2.5264742245874302E-3</v>
      </c>
      <c r="L16" s="10">
        <v>0.41998602375960897</v>
      </c>
      <c r="M16" s="10">
        <v>4.9991936784389603E-3</v>
      </c>
      <c r="N16" s="15">
        <v>1.02580855929435</v>
      </c>
    </row>
    <row r="17" spans="1:14" x14ac:dyDescent="0.2">
      <c r="A17" s="8" t="s">
        <v>68</v>
      </c>
      <c r="B17" s="9">
        <v>17689</v>
      </c>
      <c r="C17" s="9">
        <v>17094</v>
      </c>
      <c r="D17" s="9">
        <v>5032</v>
      </c>
      <c r="E17" s="9">
        <v>9047</v>
      </c>
      <c r="F17" s="9">
        <v>53</v>
      </c>
      <c r="G17" s="9">
        <v>78</v>
      </c>
      <c r="H17" s="9">
        <v>99</v>
      </c>
      <c r="I17" s="9">
        <v>8411</v>
      </c>
      <c r="J17" s="9">
        <v>1</v>
      </c>
      <c r="K17" s="10">
        <v>5.5966985132002902E-3</v>
      </c>
      <c r="L17" s="10">
        <v>0.47549324438916801</v>
      </c>
      <c r="M17" s="10">
        <v>1.3002430889253199E-2</v>
      </c>
      <c r="N17" s="15">
        <v>1.0383728969808701</v>
      </c>
    </row>
    <row r="18" spans="1:14" x14ac:dyDescent="0.2">
      <c r="A18" s="8" t="s">
        <v>69</v>
      </c>
      <c r="B18" s="9">
        <v>17210</v>
      </c>
      <c r="C18" s="9">
        <v>16195</v>
      </c>
      <c r="D18" s="9">
        <v>0</v>
      </c>
      <c r="E18" s="9">
        <v>3998</v>
      </c>
      <c r="F18" s="9">
        <v>16</v>
      </c>
      <c r="G18" s="9">
        <v>41</v>
      </c>
      <c r="H18" s="9">
        <v>41</v>
      </c>
      <c r="I18" s="9">
        <v>13114</v>
      </c>
      <c r="J18" s="9">
        <v>0</v>
      </c>
      <c r="K18" s="10">
        <v>2.38233585124927E-3</v>
      </c>
      <c r="L18" s="10">
        <v>0.76199883788495104</v>
      </c>
      <c r="M18" s="10">
        <v>5.69436374201046E-3</v>
      </c>
      <c r="N18" s="15">
        <v>1.0290025937278899</v>
      </c>
    </row>
    <row r="19" spans="1:14" x14ac:dyDescent="0.2">
      <c r="A19" s="8" t="s">
        <v>70</v>
      </c>
      <c r="B19" s="9">
        <v>16919</v>
      </c>
      <c r="C19" s="9">
        <v>15446</v>
      </c>
      <c r="D19" s="9">
        <v>0</v>
      </c>
      <c r="E19" s="9">
        <v>7468</v>
      </c>
      <c r="F19" s="9">
        <v>9</v>
      </c>
      <c r="G19" s="9">
        <v>25</v>
      </c>
      <c r="H19" s="9">
        <v>6</v>
      </c>
      <c r="I19" s="9">
        <v>9410</v>
      </c>
      <c r="J19" s="9">
        <v>1</v>
      </c>
      <c r="K19" s="10">
        <v>3.5463088835037502E-4</v>
      </c>
      <c r="L19" s="10">
        <v>0.55617944322950497</v>
      </c>
      <c r="M19" s="10">
        <v>2.3642059223358399E-3</v>
      </c>
      <c r="N19" s="15">
        <v>1.00580912863071</v>
      </c>
    </row>
    <row r="20" spans="1:14" x14ac:dyDescent="0.2">
      <c r="A20" s="8" t="s">
        <v>71</v>
      </c>
      <c r="B20" s="9">
        <v>16510</v>
      </c>
      <c r="C20" s="9">
        <v>10003</v>
      </c>
      <c r="D20" s="9">
        <v>5894</v>
      </c>
      <c r="E20" s="9">
        <v>8238</v>
      </c>
      <c r="F20" s="9">
        <v>457</v>
      </c>
      <c r="G20" s="9">
        <v>523</v>
      </c>
      <c r="H20" s="9">
        <v>689</v>
      </c>
      <c r="I20" s="9">
        <v>6592</v>
      </c>
      <c r="J20" s="9">
        <v>11</v>
      </c>
      <c r="K20" s="10">
        <v>4.1732283464566901E-2</v>
      </c>
      <c r="L20" s="10">
        <v>0.39927316777710498</v>
      </c>
      <c r="M20" s="10">
        <v>0.10109024833434301</v>
      </c>
      <c r="N20" s="15">
        <v>1.06581581581582</v>
      </c>
    </row>
    <row r="21" spans="1:14" x14ac:dyDescent="0.2">
      <c r="A21" s="8" t="s">
        <v>72</v>
      </c>
      <c r="B21" s="9">
        <v>16460</v>
      </c>
      <c r="C21" s="9">
        <v>9346</v>
      </c>
      <c r="D21" s="9">
        <v>0</v>
      </c>
      <c r="E21" s="9">
        <v>11230</v>
      </c>
      <c r="F21" s="9">
        <v>59</v>
      </c>
      <c r="G21" s="9">
        <v>120</v>
      </c>
      <c r="H21" s="9">
        <v>54</v>
      </c>
      <c r="I21" s="9">
        <v>4997</v>
      </c>
      <c r="J21" s="9">
        <v>0</v>
      </c>
      <c r="K21" s="10">
        <v>3.2806804374240599E-3</v>
      </c>
      <c r="L21" s="10">
        <v>0.30358444714459298</v>
      </c>
      <c r="M21" s="10">
        <v>1.41555285540705E-2</v>
      </c>
      <c r="N21" s="15">
        <v>1.12113402061856</v>
      </c>
    </row>
    <row r="22" spans="1:14" x14ac:dyDescent="0.2">
      <c r="A22" s="8" t="s">
        <v>73</v>
      </c>
      <c r="B22" s="9">
        <v>16403</v>
      </c>
      <c r="C22" s="9">
        <v>10154</v>
      </c>
      <c r="D22" s="9">
        <v>0</v>
      </c>
      <c r="E22" s="9">
        <v>11121</v>
      </c>
      <c r="F22" s="9">
        <v>74</v>
      </c>
      <c r="G22" s="9">
        <v>113</v>
      </c>
      <c r="H22" s="9">
        <v>130</v>
      </c>
      <c r="I22" s="9">
        <v>4965</v>
      </c>
      <c r="J22" s="9">
        <v>0</v>
      </c>
      <c r="K22" s="10">
        <v>7.9253795037493198E-3</v>
      </c>
      <c r="L22" s="10">
        <v>0.30268853258550299</v>
      </c>
      <c r="M22" s="10">
        <v>1.93257330976041E-2</v>
      </c>
      <c r="N22" s="15">
        <v>1.13275256793655</v>
      </c>
    </row>
    <row r="23" spans="1:14" x14ac:dyDescent="0.2">
      <c r="A23" s="8" t="s">
        <v>74</v>
      </c>
      <c r="B23" s="9">
        <v>14897</v>
      </c>
      <c r="C23" s="9">
        <v>10293</v>
      </c>
      <c r="D23" s="9">
        <v>0</v>
      </c>
      <c r="E23" s="9">
        <v>10360</v>
      </c>
      <c r="F23" s="9">
        <v>42</v>
      </c>
      <c r="G23" s="9">
        <v>180</v>
      </c>
      <c r="H23" s="9">
        <v>81</v>
      </c>
      <c r="I23" s="9">
        <v>4234</v>
      </c>
      <c r="J23" s="9">
        <v>0</v>
      </c>
      <c r="K23" s="10">
        <v>5.4373363764516399E-3</v>
      </c>
      <c r="L23" s="10">
        <v>0.28421829898637302</v>
      </c>
      <c r="M23" s="10">
        <v>2.0339665704504298E-2</v>
      </c>
      <c r="N23" s="15">
        <v>1.10886183465459</v>
      </c>
    </row>
    <row r="24" spans="1:14" x14ac:dyDescent="0.2">
      <c r="A24" s="8" t="s">
        <v>75</v>
      </c>
      <c r="B24" s="9">
        <v>14200</v>
      </c>
      <c r="C24" s="9">
        <v>8047</v>
      </c>
      <c r="D24" s="9">
        <v>0</v>
      </c>
      <c r="E24" s="9">
        <v>11309</v>
      </c>
      <c r="F24" s="9">
        <v>126</v>
      </c>
      <c r="G24" s="9">
        <v>220</v>
      </c>
      <c r="H24" s="9">
        <v>183</v>
      </c>
      <c r="I24" s="9">
        <v>2351</v>
      </c>
      <c r="J24" s="9">
        <v>11</v>
      </c>
      <c r="K24" s="10">
        <v>1.2887323943662E-2</v>
      </c>
      <c r="L24" s="10">
        <v>0.16556338028168999</v>
      </c>
      <c r="M24" s="10">
        <v>3.72535211267606E-2</v>
      </c>
      <c r="N24" s="15">
        <v>1.18562413421579</v>
      </c>
    </row>
    <row r="25" spans="1:14" x14ac:dyDescent="0.2">
      <c r="A25" s="8" t="s">
        <v>76</v>
      </c>
      <c r="B25" s="9">
        <v>14090</v>
      </c>
      <c r="C25" s="9">
        <v>10295</v>
      </c>
      <c r="D25" s="9">
        <v>0</v>
      </c>
      <c r="E25" s="9">
        <v>9959</v>
      </c>
      <c r="F25" s="9">
        <v>32</v>
      </c>
      <c r="G25" s="9">
        <v>56</v>
      </c>
      <c r="H25" s="9">
        <v>54</v>
      </c>
      <c r="I25" s="9">
        <v>3987</v>
      </c>
      <c r="J25" s="9">
        <v>2</v>
      </c>
      <c r="K25" s="10">
        <v>3.8325053229240598E-3</v>
      </c>
      <c r="L25" s="10">
        <v>0.28296664300922603</v>
      </c>
      <c r="M25" s="10">
        <v>1.0078069552874399E-2</v>
      </c>
      <c r="N25" s="15">
        <v>1.06901615271659</v>
      </c>
    </row>
    <row r="26" spans="1:14" x14ac:dyDescent="0.2">
      <c r="A26" s="8" t="s">
        <v>77</v>
      </c>
      <c r="B26" s="9">
        <v>13208</v>
      </c>
      <c r="C26" s="9">
        <v>9165</v>
      </c>
      <c r="D26" s="9">
        <v>5494</v>
      </c>
      <c r="E26" s="9">
        <v>6598</v>
      </c>
      <c r="F26" s="9">
        <v>341</v>
      </c>
      <c r="G26" s="9">
        <v>346</v>
      </c>
      <c r="H26" s="9">
        <v>464</v>
      </c>
      <c r="I26" s="9">
        <v>5454</v>
      </c>
      <c r="J26" s="9">
        <v>5</v>
      </c>
      <c r="K26" s="10">
        <v>3.5130224106602097E-2</v>
      </c>
      <c r="L26" s="10">
        <v>0.41293155663234399</v>
      </c>
      <c r="M26" s="10">
        <v>8.7144155057540904E-2</v>
      </c>
      <c r="N26" s="15">
        <v>1.0676268002504701</v>
      </c>
    </row>
    <row r="27" spans="1:14" x14ac:dyDescent="0.2">
      <c r="A27" s="8" t="s">
        <v>78</v>
      </c>
      <c r="B27" s="9">
        <v>13096</v>
      </c>
      <c r="C27" s="9">
        <v>11641</v>
      </c>
      <c r="D27" s="9">
        <v>3779</v>
      </c>
      <c r="E27" s="9">
        <v>5517</v>
      </c>
      <c r="F27" s="9">
        <v>200</v>
      </c>
      <c r="G27" s="9">
        <v>246</v>
      </c>
      <c r="H27" s="9">
        <v>325</v>
      </c>
      <c r="I27" s="9">
        <v>6804</v>
      </c>
      <c r="J27" s="9">
        <v>4</v>
      </c>
      <c r="K27" s="10">
        <v>2.4816737935247399E-2</v>
      </c>
      <c r="L27" s="10">
        <v>0.51954795357361006</v>
      </c>
      <c r="M27" s="10">
        <v>5.8872938301771503E-2</v>
      </c>
      <c r="N27" s="15">
        <v>1.1017493179265001</v>
      </c>
    </row>
    <row r="28" spans="1:14" x14ac:dyDescent="0.2">
      <c r="A28" s="16" t="s">
        <v>79</v>
      </c>
      <c r="B28" s="17">
        <v>11933</v>
      </c>
      <c r="C28" s="17">
        <v>3888</v>
      </c>
      <c r="D28" s="17">
        <v>5471</v>
      </c>
      <c r="E28" s="17">
        <v>5991</v>
      </c>
      <c r="F28" s="17">
        <v>495</v>
      </c>
      <c r="G28" s="17">
        <v>524</v>
      </c>
      <c r="H28" s="17">
        <v>724</v>
      </c>
      <c r="I28" s="17">
        <v>4194</v>
      </c>
      <c r="J28" s="17">
        <v>5</v>
      </c>
      <c r="K28" s="18">
        <v>6.0672085812452897E-2</v>
      </c>
      <c r="L28" s="18">
        <v>0.35146233135003802</v>
      </c>
      <c r="M28" s="18">
        <v>0.14606553255677501</v>
      </c>
      <c r="N28" s="19">
        <v>1.2073621901590801</v>
      </c>
    </row>
    <row r="29" spans="1:14" x14ac:dyDescent="0.2">
      <c r="A29" s="8" t="s">
        <v>80</v>
      </c>
      <c r="B29" s="9">
        <v>11825</v>
      </c>
      <c r="C29" s="9">
        <v>11881</v>
      </c>
      <c r="D29" s="9">
        <v>0</v>
      </c>
      <c r="E29" s="9">
        <v>6249</v>
      </c>
      <c r="F29" s="9">
        <v>9</v>
      </c>
      <c r="G29" s="9">
        <v>21</v>
      </c>
      <c r="H29" s="9">
        <v>13</v>
      </c>
      <c r="I29" s="9">
        <v>5533</v>
      </c>
      <c r="J29" s="9">
        <v>0</v>
      </c>
      <c r="K29" s="10">
        <v>1.0993657505285401E-3</v>
      </c>
      <c r="L29" s="10">
        <v>0.46790697674418602</v>
      </c>
      <c r="M29" s="10">
        <v>3.6363636363636398E-3</v>
      </c>
      <c r="N29" s="15">
        <v>1.03039148351648</v>
      </c>
    </row>
    <row r="30" spans="1:14" x14ac:dyDescent="0.2">
      <c r="A30" s="8" t="s">
        <v>81</v>
      </c>
      <c r="B30" s="9">
        <v>11557</v>
      </c>
      <c r="C30" s="9">
        <v>7762</v>
      </c>
      <c r="D30" s="9">
        <v>0</v>
      </c>
      <c r="E30" s="9">
        <v>10320</v>
      </c>
      <c r="F30" s="9">
        <v>4</v>
      </c>
      <c r="G30" s="9">
        <v>31</v>
      </c>
      <c r="H30" s="9">
        <v>8</v>
      </c>
      <c r="I30" s="9">
        <v>1194</v>
      </c>
      <c r="J30" s="9">
        <v>0</v>
      </c>
      <c r="K30" s="10">
        <v>6.9222116466211004E-4</v>
      </c>
      <c r="L30" s="10">
        <v>0.10331400882581999</v>
      </c>
      <c r="M30" s="10">
        <v>3.7206887600588399E-3</v>
      </c>
      <c r="N30" s="15">
        <v>1.0700340318824999</v>
      </c>
    </row>
    <row r="31" spans="1:14" x14ac:dyDescent="0.2">
      <c r="A31" s="8" t="s">
        <v>82</v>
      </c>
      <c r="B31" s="9">
        <v>10525</v>
      </c>
      <c r="C31" s="9">
        <v>9654</v>
      </c>
      <c r="D31" s="9">
        <v>3482</v>
      </c>
      <c r="E31" s="9">
        <v>4480</v>
      </c>
      <c r="F31" s="9">
        <v>129</v>
      </c>
      <c r="G31" s="9">
        <v>181</v>
      </c>
      <c r="H31" s="9">
        <v>181</v>
      </c>
      <c r="I31" s="9">
        <v>5553</v>
      </c>
      <c r="J31" s="9">
        <v>1</v>
      </c>
      <c r="K31" s="10">
        <v>1.71971496437055E-2</v>
      </c>
      <c r="L31" s="10">
        <v>0.52760095011876496</v>
      </c>
      <c r="M31" s="10">
        <v>4.6650831353919203E-2</v>
      </c>
      <c r="N31" s="15">
        <v>1.1071071071071099</v>
      </c>
    </row>
    <row r="32" spans="1:14" x14ac:dyDescent="0.2">
      <c r="A32" s="8" t="s">
        <v>83</v>
      </c>
      <c r="B32" s="9">
        <v>10361</v>
      </c>
      <c r="C32" s="9">
        <v>8603</v>
      </c>
      <c r="D32" s="9">
        <v>0</v>
      </c>
      <c r="E32" s="9">
        <v>5460</v>
      </c>
      <c r="F32" s="9">
        <v>21</v>
      </c>
      <c r="G32" s="9">
        <v>83</v>
      </c>
      <c r="H32" s="9">
        <v>70</v>
      </c>
      <c r="I32" s="9">
        <v>4727</v>
      </c>
      <c r="J32" s="9">
        <v>0</v>
      </c>
      <c r="K32" s="10">
        <v>6.75610462310588E-3</v>
      </c>
      <c r="L32" s="10">
        <v>0.45623009362030698</v>
      </c>
      <c r="M32" s="10">
        <v>1.6793745777434602E-2</v>
      </c>
      <c r="N32" s="15">
        <v>1.19792108612643</v>
      </c>
    </row>
    <row r="33" spans="1:14" x14ac:dyDescent="0.2">
      <c r="A33" s="8" t="s">
        <v>84</v>
      </c>
      <c r="B33" s="9">
        <v>9550</v>
      </c>
      <c r="C33" s="9">
        <v>4663</v>
      </c>
      <c r="D33" s="9">
        <v>0</v>
      </c>
      <c r="E33" s="9">
        <v>6599</v>
      </c>
      <c r="F33" s="9">
        <v>129</v>
      </c>
      <c r="G33" s="9">
        <v>287</v>
      </c>
      <c r="H33" s="9">
        <v>189</v>
      </c>
      <c r="I33" s="9">
        <v>2346</v>
      </c>
      <c r="J33" s="9">
        <v>0</v>
      </c>
      <c r="K33" s="10">
        <v>1.9790575916230398E-2</v>
      </c>
      <c r="L33" s="10">
        <v>0.24565445026178001</v>
      </c>
      <c r="M33" s="10">
        <v>6.3350785340314103E-2</v>
      </c>
      <c r="N33" s="15">
        <v>1.20758206195099</v>
      </c>
    </row>
    <row r="34" spans="1:14" x14ac:dyDescent="0.2">
      <c r="A34" s="8" t="s">
        <v>85</v>
      </c>
      <c r="B34" s="9">
        <v>9509</v>
      </c>
      <c r="C34" s="9">
        <v>7467</v>
      </c>
      <c r="D34" s="9">
        <v>0</v>
      </c>
      <c r="E34" s="9">
        <v>5288</v>
      </c>
      <c r="F34" s="9">
        <v>159</v>
      </c>
      <c r="G34" s="9">
        <v>218</v>
      </c>
      <c r="H34" s="9">
        <v>217</v>
      </c>
      <c r="I34" s="9">
        <v>3627</v>
      </c>
      <c r="J34" s="9">
        <v>0</v>
      </c>
      <c r="K34" s="10">
        <v>2.28204858555053E-2</v>
      </c>
      <c r="L34" s="10">
        <v>0.38142812072773202</v>
      </c>
      <c r="M34" s="10">
        <v>6.24671363970975E-2</v>
      </c>
      <c r="N34" s="15">
        <v>1.1635949943117201</v>
      </c>
    </row>
    <row r="35" spans="1:14" x14ac:dyDescent="0.2">
      <c r="A35" s="8" t="s">
        <v>86</v>
      </c>
      <c r="B35" s="9">
        <v>7502</v>
      </c>
      <c r="C35" s="9">
        <v>6054</v>
      </c>
      <c r="D35" s="9">
        <v>0</v>
      </c>
      <c r="E35" s="9">
        <v>4557</v>
      </c>
      <c r="F35" s="9">
        <v>151</v>
      </c>
      <c r="G35" s="9">
        <v>157</v>
      </c>
      <c r="H35" s="9">
        <v>181</v>
      </c>
      <c r="I35" s="9">
        <v>2456</v>
      </c>
      <c r="J35" s="9">
        <v>0</v>
      </c>
      <c r="K35" s="10">
        <v>2.4126899493468398E-2</v>
      </c>
      <c r="L35" s="10">
        <v>0.32737936550253299</v>
      </c>
      <c r="M35" s="10">
        <v>6.5182617968541703E-2</v>
      </c>
      <c r="N35" s="15">
        <v>1.27058111380145</v>
      </c>
    </row>
    <row r="36" spans="1:14" x14ac:dyDescent="0.2">
      <c r="A36" s="8" t="s">
        <v>87</v>
      </c>
      <c r="B36" s="9">
        <v>7465</v>
      </c>
      <c r="C36" s="9">
        <v>5132</v>
      </c>
      <c r="D36" s="9">
        <v>0</v>
      </c>
      <c r="E36" s="9">
        <v>5260</v>
      </c>
      <c r="F36" s="9">
        <v>10</v>
      </c>
      <c r="G36" s="9">
        <v>39</v>
      </c>
      <c r="H36" s="9">
        <v>16</v>
      </c>
      <c r="I36" s="9">
        <v>2140</v>
      </c>
      <c r="J36" s="9">
        <v>0</v>
      </c>
      <c r="K36" s="10">
        <v>2.1433355659745499E-3</v>
      </c>
      <c r="L36" s="10">
        <v>0.28667113194909599</v>
      </c>
      <c r="M36" s="10">
        <v>8.7073007367715997E-3</v>
      </c>
      <c r="N36" s="15">
        <v>1.1255694760820101</v>
      </c>
    </row>
    <row r="37" spans="1:14" x14ac:dyDescent="0.2">
      <c r="A37" s="8" t="s">
        <v>88</v>
      </c>
      <c r="B37" s="9">
        <v>7103</v>
      </c>
      <c r="C37" s="9">
        <v>3999</v>
      </c>
      <c r="D37" s="9">
        <v>0</v>
      </c>
      <c r="E37" s="9">
        <v>4381</v>
      </c>
      <c r="F37" s="9">
        <v>5</v>
      </c>
      <c r="G37" s="9">
        <v>17</v>
      </c>
      <c r="H37" s="9">
        <v>11</v>
      </c>
      <c r="I37" s="9">
        <v>2689</v>
      </c>
      <c r="J37" s="9">
        <v>0</v>
      </c>
      <c r="K37" s="10">
        <v>1.54864141911868E-3</v>
      </c>
      <c r="L37" s="10">
        <v>0.37857243418274</v>
      </c>
      <c r="M37" s="10">
        <v>4.6459242573560497E-3</v>
      </c>
      <c r="N37" s="15">
        <v>1.3372820006581101</v>
      </c>
    </row>
    <row r="38" spans="1:14" x14ac:dyDescent="0.2">
      <c r="A38" s="8" t="s">
        <v>89</v>
      </c>
      <c r="B38" s="9">
        <v>6731</v>
      </c>
      <c r="C38" s="9">
        <v>5391</v>
      </c>
      <c r="D38" s="9">
        <v>0</v>
      </c>
      <c r="E38" s="9">
        <v>2935</v>
      </c>
      <c r="F38" s="9">
        <v>22</v>
      </c>
      <c r="G38" s="9">
        <v>50</v>
      </c>
      <c r="H38" s="9">
        <v>89</v>
      </c>
      <c r="I38" s="9">
        <v>3635</v>
      </c>
      <c r="J38" s="9">
        <v>0</v>
      </c>
      <c r="K38" s="10">
        <v>1.3222403803298199E-2</v>
      </c>
      <c r="L38" s="10">
        <v>0.54003862724706597</v>
      </c>
      <c r="M38" s="10">
        <v>2.3919179913831499E-2</v>
      </c>
      <c r="N38" s="15">
        <v>1.27783417935702</v>
      </c>
    </row>
    <row r="39" spans="1:14" x14ac:dyDescent="0.2">
      <c r="A39" s="8" t="s">
        <v>90</v>
      </c>
      <c r="B39" s="9">
        <v>6710</v>
      </c>
      <c r="C39" s="9">
        <v>4987</v>
      </c>
      <c r="D39" s="9">
        <v>0</v>
      </c>
      <c r="E39" s="9">
        <v>5329</v>
      </c>
      <c r="F39" s="9">
        <v>3</v>
      </c>
      <c r="G39" s="9">
        <v>12</v>
      </c>
      <c r="H39" s="9">
        <v>5</v>
      </c>
      <c r="I39" s="9">
        <v>1361</v>
      </c>
      <c r="J39" s="9">
        <v>0</v>
      </c>
      <c r="K39" s="10">
        <v>7.45156482861401E-4</v>
      </c>
      <c r="L39" s="10">
        <v>0.20283159463487299</v>
      </c>
      <c r="M39" s="10">
        <v>2.9806259314456001E-3</v>
      </c>
      <c r="N39" s="15">
        <v>1.22480106100796</v>
      </c>
    </row>
    <row r="40" spans="1:14" x14ac:dyDescent="0.2">
      <c r="A40" s="8" t="s">
        <v>91</v>
      </c>
      <c r="B40" s="9">
        <v>6696</v>
      </c>
      <c r="C40" s="9">
        <v>6187</v>
      </c>
      <c r="D40" s="9">
        <v>0</v>
      </c>
      <c r="E40" s="9">
        <v>4345</v>
      </c>
      <c r="F40" s="9">
        <v>18</v>
      </c>
      <c r="G40" s="9">
        <v>53</v>
      </c>
      <c r="H40" s="9">
        <v>25</v>
      </c>
      <c r="I40" s="9">
        <v>2255</v>
      </c>
      <c r="J40" s="9">
        <v>0</v>
      </c>
      <c r="K40" s="10">
        <v>3.73357228195938E-3</v>
      </c>
      <c r="L40" s="10">
        <v>0.33676821983273603</v>
      </c>
      <c r="M40" s="10">
        <v>1.4336917562724E-2</v>
      </c>
      <c r="N40" s="15">
        <v>1.1705024311183201</v>
      </c>
    </row>
    <row r="41" spans="1:14" x14ac:dyDescent="0.2">
      <c r="A41" s="8" t="s">
        <v>92</v>
      </c>
      <c r="B41" s="9">
        <v>6294</v>
      </c>
      <c r="C41" s="9">
        <v>3071</v>
      </c>
      <c r="D41" s="9">
        <v>0</v>
      </c>
      <c r="E41" s="9">
        <v>4789</v>
      </c>
      <c r="F41" s="9">
        <v>152</v>
      </c>
      <c r="G41" s="9">
        <v>185</v>
      </c>
      <c r="H41" s="9">
        <v>231</v>
      </c>
      <c r="I41" s="9">
        <v>937</v>
      </c>
      <c r="J41" s="9">
        <v>0</v>
      </c>
      <c r="K41" s="10">
        <v>3.6701620591039097E-2</v>
      </c>
      <c r="L41" s="10">
        <v>0.14887194153161701</v>
      </c>
      <c r="M41" s="10">
        <v>9.0244677470606896E-2</v>
      </c>
      <c r="N41" s="15">
        <v>1.2763110307414101</v>
      </c>
    </row>
    <row r="42" spans="1:14" x14ac:dyDescent="0.2">
      <c r="A42" s="8" t="s">
        <v>93</v>
      </c>
      <c r="B42" s="9">
        <v>6116</v>
      </c>
      <c r="C42" s="9">
        <v>5635</v>
      </c>
      <c r="D42" s="9">
        <v>0</v>
      </c>
      <c r="E42" s="9">
        <v>3445</v>
      </c>
      <c r="F42" s="9">
        <v>52</v>
      </c>
      <c r="G42" s="9">
        <v>82</v>
      </c>
      <c r="H42" s="9">
        <v>83</v>
      </c>
      <c r="I42" s="9">
        <v>2453</v>
      </c>
      <c r="J42" s="9">
        <v>1</v>
      </c>
      <c r="K42" s="10">
        <v>1.3570961412688E-2</v>
      </c>
      <c r="L42" s="10">
        <v>0.40107913669064799</v>
      </c>
      <c r="M42" s="10">
        <v>3.5480706344015699E-2</v>
      </c>
      <c r="N42" s="15">
        <v>1.12508686587908</v>
      </c>
    </row>
    <row r="43" spans="1:14" x14ac:dyDescent="0.2">
      <c r="A43" s="8" t="s">
        <v>94</v>
      </c>
      <c r="B43" s="9">
        <v>5577</v>
      </c>
      <c r="C43" s="9">
        <v>0</v>
      </c>
      <c r="D43" s="9">
        <v>0</v>
      </c>
      <c r="E43" s="9">
        <v>2545</v>
      </c>
      <c r="F43" s="9">
        <v>212</v>
      </c>
      <c r="G43" s="9">
        <v>219</v>
      </c>
      <c r="H43" s="9">
        <v>338</v>
      </c>
      <c r="I43" s="9">
        <v>2220</v>
      </c>
      <c r="J43" s="9">
        <v>43</v>
      </c>
      <c r="K43" s="10">
        <v>6.0606060606060601E-2</v>
      </c>
      <c r="L43" s="10">
        <v>0.39806347498655198</v>
      </c>
      <c r="M43" s="10">
        <v>0.13788775327236899</v>
      </c>
      <c r="N43" s="15">
        <v>1.2588092345079001</v>
      </c>
    </row>
    <row r="44" spans="1:14" x14ac:dyDescent="0.2">
      <c r="A44" s="8" t="s">
        <v>95</v>
      </c>
      <c r="B44" s="9">
        <v>5507</v>
      </c>
      <c r="C44" s="9">
        <v>3444</v>
      </c>
      <c r="D44" s="9">
        <v>0</v>
      </c>
      <c r="E44" s="9">
        <v>4176</v>
      </c>
      <c r="F44" s="9">
        <v>106</v>
      </c>
      <c r="G44" s="9">
        <v>138</v>
      </c>
      <c r="H44" s="9">
        <v>160</v>
      </c>
      <c r="I44" s="9">
        <v>927</v>
      </c>
      <c r="J44" s="9">
        <v>0</v>
      </c>
      <c r="K44" s="10">
        <v>2.9053931360087201E-2</v>
      </c>
      <c r="L44" s="10">
        <v>0.16833121481750499</v>
      </c>
      <c r="M44" s="10">
        <v>7.3361176684220097E-2</v>
      </c>
      <c r="N44" s="15">
        <v>1.1818541996830401</v>
      </c>
    </row>
    <row r="45" spans="1:14" x14ac:dyDescent="0.2">
      <c r="A45" s="8" t="s">
        <v>96</v>
      </c>
      <c r="B45" s="9">
        <v>5201</v>
      </c>
      <c r="C45" s="9">
        <v>4890</v>
      </c>
      <c r="D45" s="9">
        <v>3065</v>
      </c>
      <c r="E45" s="9">
        <v>2211</v>
      </c>
      <c r="F45" s="9">
        <v>117</v>
      </c>
      <c r="G45" s="9">
        <v>236</v>
      </c>
      <c r="H45" s="9">
        <v>147</v>
      </c>
      <c r="I45" s="9">
        <v>2487</v>
      </c>
      <c r="J45" s="9">
        <v>3</v>
      </c>
      <c r="K45" s="10">
        <v>2.8263795423956899E-2</v>
      </c>
      <c r="L45" s="10">
        <v>0.47817727360123102</v>
      </c>
      <c r="M45" s="10">
        <v>9.6135358584887504E-2</v>
      </c>
      <c r="N45" s="15">
        <v>1.08624147613317</v>
      </c>
    </row>
    <row r="46" spans="1:14" x14ac:dyDescent="0.2">
      <c r="A46" s="8" t="s">
        <v>97</v>
      </c>
      <c r="B46" s="9">
        <v>4997</v>
      </c>
      <c r="C46" s="9">
        <v>3638</v>
      </c>
      <c r="D46" s="9">
        <v>0</v>
      </c>
      <c r="E46" s="9">
        <v>2148</v>
      </c>
      <c r="F46" s="9">
        <v>18</v>
      </c>
      <c r="G46" s="9">
        <v>28</v>
      </c>
      <c r="H46" s="9">
        <v>22</v>
      </c>
      <c r="I46" s="9">
        <v>2781</v>
      </c>
      <c r="J46" s="9">
        <v>0</v>
      </c>
      <c r="K46" s="10">
        <v>4.4026415849509701E-3</v>
      </c>
      <c r="L46" s="10">
        <v>0.55653392035221105</v>
      </c>
      <c r="M46" s="10">
        <v>1.3608164898939399E-2</v>
      </c>
      <c r="N46" s="15">
        <v>1.2091069849690499</v>
      </c>
    </row>
    <row r="47" spans="1:14" x14ac:dyDescent="0.2">
      <c r="A47" s="8" t="s">
        <v>98</v>
      </c>
      <c r="B47" s="9">
        <v>4805</v>
      </c>
      <c r="C47" s="9">
        <v>4516</v>
      </c>
      <c r="D47" s="9">
        <v>0</v>
      </c>
      <c r="E47" s="9">
        <v>3634</v>
      </c>
      <c r="F47" s="9">
        <v>5</v>
      </c>
      <c r="G47" s="9">
        <v>5</v>
      </c>
      <c r="H47" s="9">
        <v>2</v>
      </c>
      <c r="I47" s="9">
        <v>1159</v>
      </c>
      <c r="J47" s="9">
        <v>0</v>
      </c>
      <c r="K47" s="10">
        <v>4.1623309053069699E-4</v>
      </c>
      <c r="L47" s="10">
        <v>0.24120707596253901</v>
      </c>
      <c r="M47" s="10">
        <v>2.49739854318418E-3</v>
      </c>
      <c r="N47" s="15">
        <v>1.09185894645189</v>
      </c>
    </row>
    <row r="48" spans="1:14" x14ac:dyDescent="0.2">
      <c r="A48" s="8" t="s">
        <v>99</v>
      </c>
      <c r="B48" s="9">
        <v>4802</v>
      </c>
      <c r="C48" s="9">
        <v>5149</v>
      </c>
      <c r="D48" s="9">
        <v>0</v>
      </c>
      <c r="E48" s="9">
        <v>2390</v>
      </c>
      <c r="F48" s="9">
        <v>4</v>
      </c>
      <c r="G48" s="9">
        <v>17</v>
      </c>
      <c r="H48" s="9">
        <v>7</v>
      </c>
      <c r="I48" s="9">
        <v>2384</v>
      </c>
      <c r="J48" s="9">
        <v>0</v>
      </c>
      <c r="K48" s="10">
        <v>1.45772594752187E-3</v>
      </c>
      <c r="L48" s="10">
        <v>0.49645980841316101</v>
      </c>
      <c r="M48" s="10">
        <v>5.83090379008746E-3</v>
      </c>
      <c r="N48" s="15">
        <v>1.1323268206039101</v>
      </c>
    </row>
    <row r="49" spans="1:14" x14ac:dyDescent="0.2">
      <c r="A49" s="8" t="s">
        <v>100</v>
      </c>
      <c r="B49" s="9">
        <v>4717</v>
      </c>
      <c r="C49" s="9">
        <v>3327</v>
      </c>
      <c r="D49" s="9">
        <v>0</v>
      </c>
      <c r="E49" s="9">
        <v>2784</v>
      </c>
      <c r="F49" s="9">
        <v>122</v>
      </c>
      <c r="G49" s="9">
        <v>181</v>
      </c>
      <c r="H49" s="9">
        <v>224</v>
      </c>
      <c r="I49" s="9">
        <v>1399</v>
      </c>
      <c r="J49" s="9">
        <v>7</v>
      </c>
      <c r="K49" s="10">
        <v>4.74878100487598E-2</v>
      </c>
      <c r="L49" s="10">
        <v>0.29658681365274497</v>
      </c>
      <c r="M49" s="10">
        <v>0.11172355310578801</v>
      </c>
      <c r="N49" s="15">
        <v>1.18480778138027</v>
      </c>
    </row>
    <row r="50" spans="1:14" x14ac:dyDescent="0.2">
      <c r="A50" s="8" t="s">
        <v>101</v>
      </c>
      <c r="B50" s="9">
        <v>4700</v>
      </c>
      <c r="C50" s="9">
        <v>2956</v>
      </c>
      <c r="D50" s="9">
        <v>0</v>
      </c>
      <c r="E50" s="9">
        <v>2580</v>
      </c>
      <c r="F50" s="9">
        <v>0</v>
      </c>
      <c r="G50" s="9">
        <v>8</v>
      </c>
      <c r="H50" s="9">
        <v>1</v>
      </c>
      <c r="I50" s="9">
        <v>2111</v>
      </c>
      <c r="J50" s="9">
        <v>0</v>
      </c>
      <c r="K50" s="10">
        <v>2.12765957446809E-4</v>
      </c>
      <c r="L50" s="10">
        <v>0.44914893617021301</v>
      </c>
      <c r="M50" s="10">
        <v>1.91489361702128E-3</v>
      </c>
      <c r="N50" s="15">
        <v>1.2024367385192101</v>
      </c>
    </row>
    <row r="51" spans="1:14" x14ac:dyDescent="0.2">
      <c r="A51" s="8" t="s">
        <v>102</v>
      </c>
      <c r="B51" s="9">
        <v>4075</v>
      </c>
      <c r="C51" s="9">
        <v>1831</v>
      </c>
      <c r="D51" s="9">
        <v>0</v>
      </c>
      <c r="E51" s="9">
        <v>2656</v>
      </c>
      <c r="F51" s="9">
        <v>163</v>
      </c>
      <c r="G51" s="9">
        <v>155</v>
      </c>
      <c r="H51" s="9">
        <v>236</v>
      </c>
      <c r="I51" s="9">
        <v>865</v>
      </c>
      <c r="J51" s="9">
        <v>0</v>
      </c>
      <c r="K51" s="10">
        <v>5.7914110429447899E-2</v>
      </c>
      <c r="L51" s="10">
        <v>0.21226993865030699</v>
      </c>
      <c r="M51" s="10">
        <v>0.13595092024539901</v>
      </c>
      <c r="N51" s="15">
        <v>1.19558189655172</v>
      </c>
    </row>
    <row r="52" spans="1:14" x14ac:dyDescent="0.2">
      <c r="A52" s="20" t="s">
        <v>103</v>
      </c>
      <c r="B52" s="12">
        <f t="shared" ref="B52:J52" si="0">SUM(B5:B51)</f>
        <v>752619</v>
      </c>
      <c r="C52" s="12">
        <f t="shared" si="0"/>
        <v>527475</v>
      </c>
      <c r="D52" s="12">
        <f t="shared" si="0"/>
        <v>219080</v>
      </c>
      <c r="E52" s="12">
        <f t="shared" si="0"/>
        <v>373967</v>
      </c>
      <c r="F52" s="12">
        <f t="shared" si="0"/>
        <v>20145</v>
      </c>
      <c r="G52" s="12">
        <f t="shared" si="0"/>
        <v>15680</v>
      </c>
      <c r="H52" s="12">
        <f t="shared" si="0"/>
        <v>33842</v>
      </c>
      <c r="I52" s="12">
        <f t="shared" si="0"/>
        <v>308669</v>
      </c>
      <c r="J52" s="12">
        <f t="shared" si="0"/>
        <v>316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9"/>
  <sheetViews>
    <sheetView zoomScale="125" zoomScaleNormal="100" workbookViewId="0">
      <selection activeCell="H11" sqref="H11"/>
    </sheetView>
  </sheetViews>
  <sheetFormatPr baseColWidth="10" defaultColWidth="8.6640625" defaultRowHeight="15" x14ac:dyDescent="0.2"/>
  <cols>
    <col min="1" max="1" width="22" customWidth="1"/>
    <col min="2" max="4" width="12" customWidth="1"/>
    <col min="5" max="9" width="10" customWidth="1"/>
    <col min="10" max="11" width="12" customWidth="1"/>
    <col min="12" max="12" width="10" customWidth="1"/>
  </cols>
  <sheetData>
    <row r="1" spans="1:12" ht="17" x14ac:dyDescent="0.2">
      <c r="A1" s="14" t="s">
        <v>104</v>
      </c>
    </row>
    <row r="2" spans="1:12" x14ac:dyDescent="0.2">
      <c r="A2" s="2" t="s">
        <v>105</v>
      </c>
    </row>
    <row r="4" spans="1:12" ht="26" x14ac:dyDescent="0.2">
      <c r="A4" s="7" t="s">
        <v>45</v>
      </c>
      <c r="B4" s="7" t="s">
        <v>10</v>
      </c>
      <c r="C4" s="7" t="s">
        <v>106</v>
      </c>
      <c r="D4" s="7" t="s">
        <v>107</v>
      </c>
      <c r="E4" s="7" t="s">
        <v>108</v>
      </c>
      <c r="F4" s="7" t="s">
        <v>37</v>
      </c>
      <c r="G4" s="7" t="s">
        <v>38</v>
      </c>
      <c r="H4" s="7" t="s">
        <v>39</v>
      </c>
      <c r="I4" s="7" t="s">
        <v>109</v>
      </c>
      <c r="J4" s="7" t="s">
        <v>110</v>
      </c>
      <c r="K4" s="7" t="s">
        <v>111</v>
      </c>
      <c r="L4" s="7" t="s">
        <v>112</v>
      </c>
    </row>
    <row r="5" spans="1:12" x14ac:dyDescent="0.2">
      <c r="A5" s="8" t="s">
        <v>57</v>
      </c>
      <c r="B5" s="9">
        <v>113540</v>
      </c>
      <c r="C5" s="9">
        <v>65453</v>
      </c>
      <c r="D5" s="9">
        <v>48087</v>
      </c>
      <c r="E5" s="10">
        <v>0.57647525101285901</v>
      </c>
      <c r="F5" s="9">
        <v>28593</v>
      </c>
      <c r="G5" s="9">
        <v>19652</v>
      </c>
      <c r="H5" s="9">
        <v>8048</v>
      </c>
      <c r="I5" s="10">
        <v>0.28146749204350702</v>
      </c>
      <c r="J5" s="9">
        <v>2615</v>
      </c>
      <c r="K5" s="9">
        <v>500</v>
      </c>
      <c r="L5" s="9">
        <v>32850</v>
      </c>
    </row>
    <row r="6" spans="1:12" x14ac:dyDescent="0.2">
      <c r="A6" s="8" t="s">
        <v>56</v>
      </c>
      <c r="B6" s="9">
        <v>88257</v>
      </c>
      <c r="C6" s="9">
        <v>71629</v>
      </c>
      <c r="D6" s="9">
        <v>16628</v>
      </c>
      <c r="E6" s="10">
        <v>0.81159568079585798</v>
      </c>
      <c r="F6" s="9">
        <v>20812</v>
      </c>
      <c r="G6" s="9">
        <v>12525</v>
      </c>
      <c r="H6" s="9">
        <v>7350</v>
      </c>
      <c r="I6" s="10">
        <v>0.35316163751681701</v>
      </c>
      <c r="J6" s="9">
        <v>2153</v>
      </c>
      <c r="K6" s="9">
        <v>221</v>
      </c>
      <c r="L6" s="9">
        <v>36477</v>
      </c>
    </row>
    <row r="7" spans="1:12" x14ac:dyDescent="0.2">
      <c r="A7" s="8" t="s">
        <v>58</v>
      </c>
      <c r="B7" s="9">
        <v>49386</v>
      </c>
      <c r="C7" s="9">
        <v>34137</v>
      </c>
      <c r="D7" s="9">
        <v>15249</v>
      </c>
      <c r="E7" s="10">
        <v>0.69122828331915898</v>
      </c>
      <c r="F7" s="9">
        <v>11449</v>
      </c>
      <c r="G7" s="9">
        <v>7109</v>
      </c>
      <c r="H7" s="9">
        <v>3919</v>
      </c>
      <c r="I7" s="10">
        <v>0.34230063761027202</v>
      </c>
      <c r="J7" s="9">
        <v>1088</v>
      </c>
      <c r="K7" s="9">
        <v>73</v>
      </c>
      <c r="L7" s="9">
        <v>18183</v>
      </c>
    </row>
    <row r="8" spans="1:12" x14ac:dyDescent="0.2">
      <c r="A8" s="16" t="s">
        <v>79</v>
      </c>
      <c r="B8" s="17">
        <v>42753</v>
      </c>
      <c r="C8" s="17">
        <v>29983</v>
      </c>
      <c r="D8" s="17">
        <v>12770</v>
      </c>
      <c r="E8" s="18">
        <v>0.70130751058405305</v>
      </c>
      <c r="F8" s="17">
        <v>11014</v>
      </c>
      <c r="G8" s="17">
        <v>6095</v>
      </c>
      <c r="H8" s="17">
        <v>4388</v>
      </c>
      <c r="I8" s="18">
        <v>0.39840203377519501</v>
      </c>
      <c r="J8" s="17">
        <v>1695</v>
      </c>
      <c r="K8" s="17">
        <v>96</v>
      </c>
      <c r="L8" s="17">
        <v>15621</v>
      </c>
    </row>
    <row r="9" spans="1:12" x14ac:dyDescent="0.2">
      <c r="A9" s="8" t="s">
        <v>62</v>
      </c>
      <c r="B9" s="9">
        <v>38661</v>
      </c>
      <c r="C9" s="9">
        <v>29302</v>
      </c>
      <c r="D9" s="9">
        <v>9359</v>
      </c>
      <c r="E9" s="10">
        <v>0.75792141951837799</v>
      </c>
      <c r="F9" s="9">
        <v>9382</v>
      </c>
      <c r="G9" s="9">
        <v>5339</v>
      </c>
      <c r="H9" s="9">
        <v>3689</v>
      </c>
      <c r="I9" s="10">
        <v>0.39319974419100401</v>
      </c>
      <c r="J9" s="9">
        <v>674</v>
      </c>
      <c r="K9" s="9">
        <v>247</v>
      </c>
      <c r="L9" s="9">
        <v>15385</v>
      </c>
    </row>
    <row r="10" spans="1:12" x14ac:dyDescent="0.2">
      <c r="A10" s="8" t="s">
        <v>59</v>
      </c>
      <c r="B10" s="9">
        <v>31689</v>
      </c>
      <c r="C10" s="9">
        <v>17114</v>
      </c>
      <c r="D10" s="9">
        <v>14575</v>
      </c>
      <c r="E10" s="10">
        <v>0.54006121998169698</v>
      </c>
      <c r="F10" s="9">
        <v>7446</v>
      </c>
      <c r="G10" s="9">
        <v>3428</v>
      </c>
      <c r="H10" s="9">
        <v>3575</v>
      </c>
      <c r="I10" s="10">
        <v>0.48012355627182401</v>
      </c>
      <c r="J10" s="9">
        <v>579</v>
      </c>
      <c r="K10" s="9">
        <v>122</v>
      </c>
      <c r="L10" s="9">
        <v>8674</v>
      </c>
    </row>
    <row r="11" spans="1:12" x14ac:dyDescent="0.2">
      <c r="A11" s="8" t="s">
        <v>60</v>
      </c>
      <c r="B11" s="9">
        <v>31224</v>
      </c>
      <c r="C11" s="9">
        <v>17902</v>
      </c>
      <c r="D11" s="9">
        <v>13322</v>
      </c>
      <c r="E11" s="10">
        <v>0.573341019728414</v>
      </c>
      <c r="F11" s="9">
        <v>6680</v>
      </c>
      <c r="G11" s="9">
        <v>3586</v>
      </c>
      <c r="H11" s="9">
        <v>2791</v>
      </c>
      <c r="I11" s="10">
        <v>0.417814371257485</v>
      </c>
      <c r="J11" s="9">
        <v>540</v>
      </c>
      <c r="K11" s="9">
        <v>176</v>
      </c>
      <c r="L11" s="9">
        <v>9031</v>
      </c>
    </row>
    <row r="12" spans="1:12" x14ac:dyDescent="0.2">
      <c r="A12" s="8" t="s">
        <v>113</v>
      </c>
      <c r="B12" s="9">
        <v>28265</v>
      </c>
      <c r="C12" s="9">
        <v>23701</v>
      </c>
      <c r="D12" s="9">
        <v>4564</v>
      </c>
      <c r="E12" s="10">
        <v>0.83852821510702302</v>
      </c>
      <c r="F12" s="9">
        <v>7625</v>
      </c>
      <c r="G12" s="9">
        <v>4058</v>
      </c>
      <c r="H12" s="9">
        <v>3289</v>
      </c>
      <c r="I12" s="10">
        <v>0.43134426229508199</v>
      </c>
      <c r="J12" s="9">
        <v>1059</v>
      </c>
      <c r="K12" s="9">
        <v>67</v>
      </c>
      <c r="L12" s="9">
        <v>11514</v>
      </c>
    </row>
    <row r="13" spans="1:12" x14ac:dyDescent="0.2">
      <c r="A13" s="8" t="s">
        <v>75</v>
      </c>
      <c r="B13" s="9">
        <v>25434</v>
      </c>
      <c r="C13" s="9">
        <v>21079</v>
      </c>
      <c r="D13" s="9">
        <v>4355</v>
      </c>
      <c r="E13" s="10">
        <v>0.828772509239601</v>
      </c>
      <c r="F13" s="9">
        <v>6317</v>
      </c>
      <c r="G13" s="9">
        <v>3276</v>
      </c>
      <c r="H13" s="9">
        <v>2792</v>
      </c>
      <c r="I13" s="10">
        <v>0.44198195345892</v>
      </c>
      <c r="J13" s="9">
        <v>572</v>
      </c>
      <c r="K13" s="9">
        <v>55</v>
      </c>
      <c r="L13" s="9">
        <v>11516</v>
      </c>
    </row>
    <row r="14" spans="1:12" x14ac:dyDescent="0.2">
      <c r="A14" s="8" t="s">
        <v>61</v>
      </c>
      <c r="B14" s="9">
        <v>23968</v>
      </c>
      <c r="C14" s="9">
        <v>11080</v>
      </c>
      <c r="D14" s="9">
        <v>12888</v>
      </c>
      <c r="E14" s="10">
        <v>0.46228304405874499</v>
      </c>
      <c r="F14" s="9">
        <v>5944</v>
      </c>
      <c r="G14" s="9">
        <v>2370</v>
      </c>
      <c r="H14" s="9">
        <v>3274</v>
      </c>
      <c r="I14" s="10">
        <v>0.55080753701211305</v>
      </c>
      <c r="J14" s="9">
        <v>303</v>
      </c>
      <c r="K14" s="9">
        <v>166</v>
      </c>
      <c r="L14" s="9">
        <v>5599</v>
      </c>
    </row>
    <row r="15" spans="1:12" x14ac:dyDescent="0.2">
      <c r="A15" s="8" t="s">
        <v>63</v>
      </c>
      <c r="B15" s="9">
        <v>23539</v>
      </c>
      <c r="C15" s="9">
        <v>8727</v>
      </c>
      <c r="D15" s="9">
        <v>14812</v>
      </c>
      <c r="E15" s="10">
        <v>0.37074642083351</v>
      </c>
      <c r="F15" s="9">
        <v>4904</v>
      </c>
      <c r="G15" s="9">
        <v>3065</v>
      </c>
      <c r="H15" s="9">
        <v>1733</v>
      </c>
      <c r="I15" s="10">
        <v>0.353384991843393</v>
      </c>
      <c r="J15" s="9">
        <v>159</v>
      </c>
      <c r="K15" s="9">
        <v>31</v>
      </c>
      <c r="L15" s="9">
        <v>4344</v>
      </c>
    </row>
    <row r="16" spans="1:12" x14ac:dyDescent="0.2">
      <c r="A16" s="8" t="s">
        <v>71</v>
      </c>
      <c r="B16" s="9">
        <v>23374</v>
      </c>
      <c r="C16" s="9">
        <v>15159</v>
      </c>
      <c r="D16" s="9">
        <v>8215</v>
      </c>
      <c r="E16" s="10">
        <v>0.64854111405835602</v>
      </c>
      <c r="F16" s="9">
        <v>6532</v>
      </c>
      <c r="G16" s="9">
        <v>2861</v>
      </c>
      <c r="H16" s="9">
        <v>3391</v>
      </c>
      <c r="I16" s="10">
        <v>0.51913655848132301</v>
      </c>
      <c r="J16" s="9">
        <v>827</v>
      </c>
      <c r="K16" s="9">
        <v>56</v>
      </c>
      <c r="L16" s="9">
        <v>7435</v>
      </c>
    </row>
    <row r="17" spans="1:12" x14ac:dyDescent="0.2">
      <c r="A17" s="8" t="s">
        <v>66</v>
      </c>
      <c r="B17" s="9">
        <v>19890</v>
      </c>
      <c r="C17" s="9">
        <v>14423</v>
      </c>
      <c r="D17" s="9">
        <v>5467</v>
      </c>
      <c r="E17" s="10">
        <v>0.72513826043237795</v>
      </c>
      <c r="F17" s="9">
        <v>5375</v>
      </c>
      <c r="G17" s="9">
        <v>2297</v>
      </c>
      <c r="H17" s="9">
        <v>2843</v>
      </c>
      <c r="I17" s="10">
        <v>0.52893023255813998</v>
      </c>
      <c r="J17" s="9">
        <v>647</v>
      </c>
      <c r="K17" s="9">
        <v>89</v>
      </c>
      <c r="L17" s="9">
        <v>7222</v>
      </c>
    </row>
    <row r="18" spans="1:12" x14ac:dyDescent="0.2">
      <c r="A18" s="8" t="s">
        <v>67</v>
      </c>
      <c r="B18" s="9">
        <v>19789</v>
      </c>
      <c r="C18" s="9">
        <v>11842</v>
      </c>
      <c r="D18" s="9">
        <v>7947</v>
      </c>
      <c r="E18" s="10">
        <v>0.59841325989185901</v>
      </c>
      <c r="F18" s="9">
        <v>4114</v>
      </c>
      <c r="G18" s="9">
        <v>1909</v>
      </c>
      <c r="H18" s="9">
        <v>2136</v>
      </c>
      <c r="I18" s="10">
        <v>0.51920272241127896</v>
      </c>
      <c r="J18" s="9">
        <v>444</v>
      </c>
      <c r="K18" s="9">
        <v>27</v>
      </c>
      <c r="L18" s="9">
        <v>5980</v>
      </c>
    </row>
    <row r="19" spans="1:12" x14ac:dyDescent="0.2">
      <c r="A19" s="8" t="s">
        <v>64</v>
      </c>
      <c r="B19" s="9">
        <v>19550</v>
      </c>
      <c r="C19" s="9">
        <v>15208</v>
      </c>
      <c r="D19" s="9">
        <v>4342</v>
      </c>
      <c r="E19" s="10">
        <v>0.77790281329923305</v>
      </c>
      <c r="F19" s="9">
        <v>4257</v>
      </c>
      <c r="G19" s="9">
        <v>2942</v>
      </c>
      <c r="H19" s="9">
        <v>1167</v>
      </c>
      <c r="I19" s="10">
        <v>0.27413671599718098</v>
      </c>
      <c r="J19" s="9">
        <v>127</v>
      </c>
      <c r="K19" s="9">
        <v>83</v>
      </c>
      <c r="L19" s="9">
        <v>8251</v>
      </c>
    </row>
    <row r="20" spans="1:12" x14ac:dyDescent="0.2">
      <c r="A20" s="8" t="s">
        <v>84</v>
      </c>
      <c r="B20" s="9">
        <v>18712</v>
      </c>
      <c r="C20" s="9">
        <v>12901</v>
      </c>
      <c r="D20" s="9">
        <v>5811</v>
      </c>
      <c r="E20" s="10">
        <v>0.68945061992304402</v>
      </c>
      <c r="F20" s="9">
        <v>4691</v>
      </c>
      <c r="G20" s="9">
        <v>2816</v>
      </c>
      <c r="H20" s="9">
        <v>1714</v>
      </c>
      <c r="I20" s="10">
        <v>0.36538051588147502</v>
      </c>
      <c r="J20" s="9">
        <v>484</v>
      </c>
      <c r="K20" s="9">
        <v>20</v>
      </c>
      <c r="L20" s="9">
        <v>6783</v>
      </c>
    </row>
    <row r="21" spans="1:12" x14ac:dyDescent="0.2">
      <c r="A21" s="8" t="s">
        <v>94</v>
      </c>
      <c r="B21" s="9">
        <v>18654</v>
      </c>
      <c r="C21" s="9">
        <v>13042</v>
      </c>
      <c r="D21" s="9">
        <v>5612</v>
      </c>
      <c r="E21" s="10">
        <v>0.69915299667631603</v>
      </c>
      <c r="F21" s="9">
        <v>5148</v>
      </c>
      <c r="G21" s="9">
        <v>2673</v>
      </c>
      <c r="H21" s="9">
        <v>2329</v>
      </c>
      <c r="I21" s="10">
        <v>0.45240870240870201</v>
      </c>
      <c r="J21" s="9">
        <v>701</v>
      </c>
      <c r="K21" s="9">
        <v>136</v>
      </c>
      <c r="L21" s="9">
        <v>6947</v>
      </c>
    </row>
    <row r="22" spans="1:12" x14ac:dyDescent="0.2">
      <c r="A22" s="8" t="s">
        <v>65</v>
      </c>
      <c r="B22" s="9">
        <v>18059</v>
      </c>
      <c r="C22" s="9">
        <v>5892</v>
      </c>
      <c r="D22" s="9">
        <v>12167</v>
      </c>
      <c r="E22" s="10">
        <v>0.32626391273049499</v>
      </c>
      <c r="F22" s="9">
        <v>4361</v>
      </c>
      <c r="G22" s="9">
        <v>2674</v>
      </c>
      <c r="H22" s="9">
        <v>1382</v>
      </c>
      <c r="I22" s="10">
        <v>0.31689979362531501</v>
      </c>
      <c r="J22" s="9">
        <v>227</v>
      </c>
      <c r="K22" s="9">
        <v>32</v>
      </c>
      <c r="L22" s="9">
        <v>2904</v>
      </c>
    </row>
    <row r="23" spans="1:12" x14ac:dyDescent="0.2">
      <c r="A23" s="8" t="s">
        <v>70</v>
      </c>
      <c r="B23" s="9">
        <v>16516</v>
      </c>
      <c r="C23" s="9">
        <v>8021</v>
      </c>
      <c r="D23" s="9">
        <v>8495</v>
      </c>
      <c r="E23" s="10">
        <v>0.48565027851780102</v>
      </c>
      <c r="F23" s="9">
        <v>3478</v>
      </c>
      <c r="G23" s="9">
        <v>2051</v>
      </c>
      <c r="H23" s="9">
        <v>1068</v>
      </c>
      <c r="I23" s="10">
        <v>0.30707303047728601</v>
      </c>
      <c r="J23" s="9">
        <v>216</v>
      </c>
      <c r="K23" s="9">
        <v>21</v>
      </c>
      <c r="L23" s="9">
        <v>4031</v>
      </c>
    </row>
    <row r="24" spans="1:12" x14ac:dyDescent="0.2">
      <c r="A24" s="8" t="s">
        <v>78</v>
      </c>
      <c r="B24" s="9">
        <v>14568</v>
      </c>
      <c r="C24" s="9">
        <v>7822</v>
      </c>
      <c r="D24" s="9">
        <v>6746</v>
      </c>
      <c r="E24" s="10">
        <v>0.53693025809994499</v>
      </c>
      <c r="F24" s="9">
        <v>3774</v>
      </c>
      <c r="G24" s="9">
        <v>1742</v>
      </c>
      <c r="H24" s="9">
        <v>1906</v>
      </c>
      <c r="I24" s="10">
        <v>0.50503444621091698</v>
      </c>
      <c r="J24" s="9">
        <v>280</v>
      </c>
      <c r="K24" s="9">
        <v>35</v>
      </c>
      <c r="L24" s="9">
        <v>3997</v>
      </c>
    </row>
    <row r="25" spans="1:12" x14ac:dyDescent="0.2">
      <c r="A25" s="8" t="s">
        <v>69</v>
      </c>
      <c r="B25" s="9">
        <v>14502</v>
      </c>
      <c r="C25" s="9">
        <v>3981</v>
      </c>
      <c r="D25" s="9">
        <v>10521</v>
      </c>
      <c r="E25" s="10">
        <v>0.27451386015722001</v>
      </c>
      <c r="F25" s="9">
        <v>3208</v>
      </c>
      <c r="G25" s="9">
        <v>1782</v>
      </c>
      <c r="H25" s="9">
        <v>1094</v>
      </c>
      <c r="I25" s="10">
        <v>0.34102244389027397</v>
      </c>
      <c r="J25" s="9">
        <v>221</v>
      </c>
      <c r="K25" s="9">
        <v>72</v>
      </c>
      <c r="L25" s="9">
        <v>2028</v>
      </c>
    </row>
    <row r="26" spans="1:12" x14ac:dyDescent="0.2">
      <c r="A26" s="8" t="s">
        <v>68</v>
      </c>
      <c r="B26" s="9">
        <v>14290</v>
      </c>
      <c r="C26" s="9">
        <v>7291</v>
      </c>
      <c r="D26" s="9">
        <v>6999</v>
      </c>
      <c r="E26" s="10">
        <v>0.51021693491952402</v>
      </c>
      <c r="F26" s="9">
        <v>3022</v>
      </c>
      <c r="G26" s="9">
        <v>1510</v>
      </c>
      <c r="H26" s="9">
        <v>1433</v>
      </c>
      <c r="I26" s="10">
        <v>0.47418927862342802</v>
      </c>
      <c r="J26" s="9">
        <v>278</v>
      </c>
      <c r="K26" s="9">
        <v>29</v>
      </c>
      <c r="L26" s="9">
        <v>3645</v>
      </c>
    </row>
    <row r="27" spans="1:12" x14ac:dyDescent="0.2">
      <c r="A27" s="8" t="s">
        <v>74</v>
      </c>
      <c r="B27" s="9">
        <v>13670</v>
      </c>
      <c r="C27" s="9">
        <v>10821</v>
      </c>
      <c r="D27" s="9">
        <v>2849</v>
      </c>
      <c r="E27" s="10">
        <v>0.79158741770299901</v>
      </c>
      <c r="F27" s="9">
        <v>2921</v>
      </c>
      <c r="G27" s="9">
        <v>1473</v>
      </c>
      <c r="H27" s="9">
        <v>1347</v>
      </c>
      <c r="I27" s="10">
        <v>0.46114344402601898</v>
      </c>
      <c r="J27" s="9">
        <v>255</v>
      </c>
      <c r="K27" s="9">
        <v>37</v>
      </c>
      <c r="L27" s="9">
        <v>5551</v>
      </c>
    </row>
    <row r="28" spans="1:12" x14ac:dyDescent="0.2">
      <c r="A28" s="8" t="s">
        <v>77</v>
      </c>
      <c r="B28" s="9">
        <v>13061</v>
      </c>
      <c r="C28" s="9">
        <v>8335</v>
      </c>
      <c r="D28" s="9">
        <v>4726</v>
      </c>
      <c r="E28" s="10">
        <v>0.63815940586478803</v>
      </c>
      <c r="F28" s="9">
        <v>3550</v>
      </c>
      <c r="G28" s="9">
        <v>1975</v>
      </c>
      <c r="H28" s="9">
        <v>1502</v>
      </c>
      <c r="I28" s="10">
        <v>0.42309859154929602</v>
      </c>
      <c r="J28" s="9">
        <v>346</v>
      </c>
      <c r="K28" s="9">
        <v>26</v>
      </c>
      <c r="L28" s="9">
        <v>4085</v>
      </c>
    </row>
    <row r="29" spans="1:12" x14ac:dyDescent="0.2">
      <c r="A29" s="8" t="s">
        <v>81</v>
      </c>
      <c r="B29" s="9">
        <v>12850</v>
      </c>
      <c r="C29" s="9">
        <v>11816</v>
      </c>
      <c r="D29" s="9">
        <v>1034</v>
      </c>
      <c r="E29" s="10">
        <v>0.91953307392996098</v>
      </c>
      <c r="F29" s="9">
        <v>2595</v>
      </c>
      <c r="G29" s="9">
        <v>1112</v>
      </c>
      <c r="H29" s="9">
        <v>1265</v>
      </c>
      <c r="I29" s="10">
        <v>0.48747591522158001</v>
      </c>
      <c r="J29" s="9">
        <v>303</v>
      </c>
      <c r="K29" s="9">
        <v>137</v>
      </c>
      <c r="L29" s="9">
        <v>5903</v>
      </c>
    </row>
    <row r="30" spans="1:12" x14ac:dyDescent="0.2">
      <c r="A30" s="8" t="s">
        <v>85</v>
      </c>
      <c r="B30" s="9">
        <v>12744</v>
      </c>
      <c r="C30" s="9">
        <v>8927</v>
      </c>
      <c r="D30" s="9">
        <v>3817</v>
      </c>
      <c r="E30" s="10">
        <v>0.70048650345260499</v>
      </c>
      <c r="F30" s="9">
        <v>3377</v>
      </c>
      <c r="G30" s="9">
        <v>1510</v>
      </c>
      <c r="H30" s="9">
        <v>1807</v>
      </c>
      <c r="I30" s="10">
        <v>0.53509031684927499</v>
      </c>
      <c r="J30" s="9">
        <v>301</v>
      </c>
      <c r="K30" s="9">
        <v>9</v>
      </c>
      <c r="L30" s="9">
        <v>4590</v>
      </c>
    </row>
    <row r="31" spans="1:12" x14ac:dyDescent="0.2">
      <c r="A31" s="8" t="s">
        <v>76</v>
      </c>
      <c r="B31" s="9">
        <v>12503</v>
      </c>
      <c r="C31" s="9">
        <v>9011</v>
      </c>
      <c r="D31" s="9">
        <v>3492</v>
      </c>
      <c r="E31" s="10">
        <v>0.72070703031272498</v>
      </c>
      <c r="F31" s="9">
        <v>2507</v>
      </c>
      <c r="G31" s="9">
        <v>1036</v>
      </c>
      <c r="H31" s="9">
        <v>1385</v>
      </c>
      <c r="I31" s="10">
        <v>0.55245313123254902</v>
      </c>
      <c r="J31" s="9">
        <v>356</v>
      </c>
      <c r="K31" s="9">
        <v>36</v>
      </c>
      <c r="L31" s="9">
        <v>4632</v>
      </c>
    </row>
    <row r="32" spans="1:12" x14ac:dyDescent="0.2">
      <c r="A32" s="8" t="s">
        <v>72</v>
      </c>
      <c r="B32" s="9">
        <v>12119</v>
      </c>
      <c r="C32" s="9">
        <v>9688</v>
      </c>
      <c r="D32" s="9">
        <v>2431</v>
      </c>
      <c r="E32" s="10">
        <v>0.79940589157521302</v>
      </c>
      <c r="F32" s="9">
        <v>2585</v>
      </c>
      <c r="G32" s="9">
        <v>1133</v>
      </c>
      <c r="H32" s="9">
        <v>1300</v>
      </c>
      <c r="I32" s="10">
        <v>0.50290135396518398</v>
      </c>
      <c r="J32" s="9">
        <v>189</v>
      </c>
      <c r="K32" s="9">
        <v>73</v>
      </c>
      <c r="L32" s="9">
        <v>4991</v>
      </c>
    </row>
    <row r="33" spans="1:12" x14ac:dyDescent="0.2">
      <c r="A33" s="8" t="s">
        <v>73</v>
      </c>
      <c r="B33" s="9">
        <v>11828</v>
      </c>
      <c r="C33" s="9">
        <v>8871</v>
      </c>
      <c r="D33" s="9">
        <v>2957</v>
      </c>
      <c r="E33" s="10">
        <v>0.75</v>
      </c>
      <c r="F33" s="9">
        <v>2479</v>
      </c>
      <c r="G33" s="9">
        <v>1158</v>
      </c>
      <c r="H33" s="9">
        <v>1242</v>
      </c>
      <c r="I33" s="10">
        <v>0.50100847115772495</v>
      </c>
      <c r="J33" s="9">
        <v>209</v>
      </c>
      <c r="K33" s="9">
        <v>38</v>
      </c>
      <c r="L33" s="9">
        <v>4566</v>
      </c>
    </row>
    <row r="34" spans="1:12" x14ac:dyDescent="0.2">
      <c r="A34" s="8" t="s">
        <v>114</v>
      </c>
      <c r="B34" s="9">
        <v>11407</v>
      </c>
      <c r="C34" s="9">
        <v>8650</v>
      </c>
      <c r="D34" s="9">
        <v>2757</v>
      </c>
      <c r="E34" s="10">
        <v>0.75830630314719005</v>
      </c>
      <c r="F34" s="9">
        <v>2919</v>
      </c>
      <c r="G34" s="9">
        <v>1680</v>
      </c>
      <c r="H34" s="9">
        <v>992</v>
      </c>
      <c r="I34" s="10">
        <v>0.33984241178485802</v>
      </c>
      <c r="J34" s="9">
        <v>128</v>
      </c>
      <c r="K34" s="9">
        <v>12</v>
      </c>
      <c r="L34" s="9">
        <v>4518</v>
      </c>
    </row>
    <row r="35" spans="1:12" x14ac:dyDescent="0.2">
      <c r="A35" s="8" t="s">
        <v>82</v>
      </c>
      <c r="B35" s="9">
        <v>11340</v>
      </c>
      <c r="C35" s="9">
        <v>6310</v>
      </c>
      <c r="D35" s="9">
        <v>5030</v>
      </c>
      <c r="E35" s="10">
        <v>0.55643738977072299</v>
      </c>
      <c r="F35" s="9">
        <v>2755</v>
      </c>
      <c r="G35" s="9">
        <v>1235</v>
      </c>
      <c r="H35" s="9">
        <v>1281</v>
      </c>
      <c r="I35" s="10">
        <v>0.46497277676950999</v>
      </c>
      <c r="J35" s="9">
        <v>41</v>
      </c>
      <c r="K35" s="9">
        <v>79</v>
      </c>
      <c r="L35" s="9">
        <v>3214</v>
      </c>
    </row>
    <row r="36" spans="1:12" x14ac:dyDescent="0.2">
      <c r="A36" s="8" t="s">
        <v>88</v>
      </c>
      <c r="B36" s="9">
        <v>11219</v>
      </c>
      <c r="C36" s="9">
        <v>6671</v>
      </c>
      <c r="D36" s="9">
        <v>4548</v>
      </c>
      <c r="E36" s="10">
        <v>0.59461627596042399</v>
      </c>
      <c r="F36" s="9">
        <v>2859</v>
      </c>
      <c r="G36" s="9">
        <v>2114</v>
      </c>
      <c r="H36" s="9">
        <v>652</v>
      </c>
      <c r="I36" s="10">
        <v>0.22805176635187099</v>
      </c>
      <c r="J36" s="9">
        <v>135</v>
      </c>
      <c r="K36" s="9">
        <v>37</v>
      </c>
      <c r="L36" s="9">
        <v>3524</v>
      </c>
    </row>
    <row r="37" spans="1:12" x14ac:dyDescent="0.2">
      <c r="A37" s="8" t="s">
        <v>115</v>
      </c>
      <c r="B37" s="9">
        <v>10986</v>
      </c>
      <c r="C37" s="9">
        <v>5933</v>
      </c>
      <c r="D37" s="9">
        <v>5053</v>
      </c>
      <c r="E37" s="10">
        <v>0.54005097396686697</v>
      </c>
      <c r="F37" s="9">
        <v>2826</v>
      </c>
      <c r="G37" s="9">
        <v>1522</v>
      </c>
      <c r="H37" s="9">
        <v>1214</v>
      </c>
      <c r="I37" s="10">
        <v>0.42958244869072898</v>
      </c>
      <c r="J37" s="9">
        <v>299</v>
      </c>
      <c r="K37" s="9">
        <v>33</v>
      </c>
      <c r="L37" s="9">
        <v>3095</v>
      </c>
    </row>
    <row r="38" spans="1:12" x14ac:dyDescent="0.2">
      <c r="A38" s="8" t="s">
        <v>83</v>
      </c>
      <c r="B38" s="9">
        <v>9921</v>
      </c>
      <c r="C38" s="9">
        <v>5961</v>
      </c>
      <c r="D38" s="9">
        <v>3960</v>
      </c>
      <c r="E38" s="10">
        <v>0.600846688841851</v>
      </c>
      <c r="F38" s="9">
        <v>2301</v>
      </c>
      <c r="G38" s="9">
        <v>1053</v>
      </c>
      <c r="H38" s="9">
        <v>978</v>
      </c>
      <c r="I38" s="10">
        <v>0.42503259452412001</v>
      </c>
      <c r="J38" s="9">
        <v>64</v>
      </c>
      <c r="K38" s="9">
        <v>246</v>
      </c>
      <c r="L38" s="9">
        <v>3121</v>
      </c>
    </row>
    <row r="39" spans="1:12" x14ac:dyDescent="0.2">
      <c r="A39" s="8" t="s">
        <v>80</v>
      </c>
      <c r="B39" s="9">
        <v>9873</v>
      </c>
      <c r="C39" s="9">
        <v>5610</v>
      </c>
      <c r="D39" s="9">
        <v>4263</v>
      </c>
      <c r="E39" s="10">
        <v>0.56821634761470696</v>
      </c>
      <c r="F39" s="9">
        <v>2119</v>
      </c>
      <c r="G39" s="9">
        <v>1228</v>
      </c>
      <c r="H39" s="9">
        <v>755</v>
      </c>
      <c r="I39" s="10">
        <v>0.35630014157621498</v>
      </c>
      <c r="J39" s="9">
        <v>56</v>
      </c>
      <c r="K39" s="9">
        <v>17</v>
      </c>
      <c r="L39" s="9">
        <v>2766</v>
      </c>
    </row>
    <row r="40" spans="1:12" x14ac:dyDescent="0.2">
      <c r="A40" s="8" t="s">
        <v>92</v>
      </c>
      <c r="B40" s="9">
        <v>9540</v>
      </c>
      <c r="C40" s="9">
        <v>8027</v>
      </c>
      <c r="D40" s="9">
        <v>1513</v>
      </c>
      <c r="E40" s="10">
        <v>0.84140461215932905</v>
      </c>
      <c r="F40" s="9">
        <v>2493</v>
      </c>
      <c r="G40" s="9">
        <v>1196</v>
      </c>
      <c r="H40" s="9">
        <v>1182</v>
      </c>
      <c r="I40" s="10">
        <v>0.47412755716004801</v>
      </c>
      <c r="J40" s="9">
        <v>279</v>
      </c>
      <c r="K40" s="9">
        <v>22</v>
      </c>
      <c r="L40" s="9">
        <v>4238</v>
      </c>
    </row>
    <row r="41" spans="1:12" x14ac:dyDescent="0.2">
      <c r="A41" s="8" t="s">
        <v>116</v>
      </c>
      <c r="B41" s="9">
        <v>9360</v>
      </c>
      <c r="C41" s="9">
        <v>7520</v>
      </c>
      <c r="D41" s="9">
        <v>1840</v>
      </c>
      <c r="E41" s="10">
        <v>0.80341880341880401</v>
      </c>
      <c r="F41" s="9">
        <v>2035</v>
      </c>
      <c r="G41" s="9">
        <v>988</v>
      </c>
      <c r="H41" s="9">
        <v>965</v>
      </c>
      <c r="I41" s="10">
        <v>0.47420147420147402</v>
      </c>
      <c r="J41" s="9">
        <v>137</v>
      </c>
      <c r="K41" s="9">
        <v>115</v>
      </c>
      <c r="L41" s="9">
        <v>3812</v>
      </c>
    </row>
    <row r="42" spans="1:12" x14ac:dyDescent="0.2">
      <c r="A42" s="8" t="s">
        <v>86</v>
      </c>
      <c r="B42" s="9">
        <v>8802</v>
      </c>
      <c r="C42" s="9">
        <v>6704</v>
      </c>
      <c r="D42" s="9">
        <v>2098</v>
      </c>
      <c r="E42" s="10">
        <v>0.76164508066348602</v>
      </c>
      <c r="F42" s="9">
        <v>2302</v>
      </c>
      <c r="G42" s="9">
        <v>956</v>
      </c>
      <c r="H42" s="9">
        <v>1212</v>
      </c>
      <c r="I42" s="10">
        <v>0.52649869678540395</v>
      </c>
      <c r="J42" s="9">
        <v>213</v>
      </c>
      <c r="K42" s="9">
        <v>11</v>
      </c>
      <c r="L42" s="9">
        <v>3571</v>
      </c>
    </row>
    <row r="43" spans="1:12" x14ac:dyDescent="0.2">
      <c r="A43" s="8" t="s">
        <v>87</v>
      </c>
      <c r="B43" s="9">
        <v>8775</v>
      </c>
      <c r="C43" s="9">
        <v>6367</v>
      </c>
      <c r="D43" s="9">
        <v>2408</v>
      </c>
      <c r="E43" s="10">
        <v>0.72558404558404599</v>
      </c>
      <c r="F43" s="9">
        <v>1973</v>
      </c>
      <c r="G43" s="9">
        <v>1156</v>
      </c>
      <c r="H43" s="9">
        <v>750</v>
      </c>
      <c r="I43" s="10">
        <v>0.38013177901672601</v>
      </c>
      <c r="J43" s="9">
        <v>108</v>
      </c>
      <c r="K43" s="9">
        <v>8</v>
      </c>
      <c r="L43" s="9">
        <v>3346</v>
      </c>
    </row>
    <row r="44" spans="1:12" x14ac:dyDescent="0.2">
      <c r="A44" s="8" t="s">
        <v>100</v>
      </c>
      <c r="B44" s="9">
        <v>8505</v>
      </c>
      <c r="C44" s="9">
        <v>6006</v>
      </c>
      <c r="D44" s="9">
        <v>2499</v>
      </c>
      <c r="E44" s="10">
        <v>0.70617283950617304</v>
      </c>
      <c r="F44" s="9">
        <v>2364</v>
      </c>
      <c r="G44" s="9">
        <v>1013</v>
      </c>
      <c r="H44" s="9">
        <v>1292</v>
      </c>
      <c r="I44" s="10">
        <v>0.546531302876481</v>
      </c>
      <c r="J44" s="9">
        <v>229</v>
      </c>
      <c r="K44" s="9">
        <v>33</v>
      </c>
      <c r="L44" s="9">
        <v>3139</v>
      </c>
    </row>
    <row r="45" spans="1:12" x14ac:dyDescent="0.2">
      <c r="A45" s="8" t="s">
        <v>102</v>
      </c>
      <c r="B45" s="9">
        <v>7886</v>
      </c>
      <c r="C45" s="9">
        <v>5967</v>
      </c>
      <c r="D45" s="9">
        <v>1919</v>
      </c>
      <c r="E45" s="10">
        <v>0.756657367486685</v>
      </c>
      <c r="F45" s="9">
        <v>2075</v>
      </c>
      <c r="G45" s="9">
        <v>1010</v>
      </c>
      <c r="H45" s="9">
        <v>999</v>
      </c>
      <c r="I45" s="10">
        <v>0.48144578313253</v>
      </c>
      <c r="J45" s="9">
        <v>271</v>
      </c>
      <c r="K45" s="9">
        <v>155</v>
      </c>
      <c r="L45" s="9">
        <v>3190</v>
      </c>
    </row>
    <row r="46" spans="1:12" x14ac:dyDescent="0.2">
      <c r="A46" s="8" t="s">
        <v>91</v>
      </c>
      <c r="B46" s="9">
        <v>7851</v>
      </c>
      <c r="C46" s="9">
        <v>5633</v>
      </c>
      <c r="D46" s="9">
        <v>2218</v>
      </c>
      <c r="E46" s="10">
        <v>0.71748821806139296</v>
      </c>
      <c r="F46" s="9">
        <v>1783</v>
      </c>
      <c r="G46" s="9">
        <v>697</v>
      </c>
      <c r="H46" s="9">
        <v>1030</v>
      </c>
      <c r="I46" s="10">
        <v>0.57767807066741494</v>
      </c>
      <c r="J46" s="9">
        <v>103</v>
      </c>
      <c r="K46" s="9">
        <v>17</v>
      </c>
      <c r="L46" s="9">
        <v>2933</v>
      </c>
    </row>
    <row r="47" spans="1:12" x14ac:dyDescent="0.2">
      <c r="A47" s="8" t="s">
        <v>95</v>
      </c>
      <c r="B47" s="9">
        <v>7195</v>
      </c>
      <c r="C47" s="9">
        <v>6072</v>
      </c>
      <c r="D47" s="9">
        <v>1123</v>
      </c>
      <c r="E47" s="10">
        <v>0.843919388464211</v>
      </c>
      <c r="F47" s="9">
        <v>2192</v>
      </c>
      <c r="G47" s="9">
        <v>841</v>
      </c>
      <c r="H47" s="9">
        <v>1274</v>
      </c>
      <c r="I47" s="10">
        <v>0.58120437956204396</v>
      </c>
      <c r="J47" s="9">
        <v>196</v>
      </c>
      <c r="K47" s="9">
        <v>11</v>
      </c>
      <c r="L47" s="9">
        <v>3054</v>
      </c>
    </row>
    <row r="48" spans="1:12" x14ac:dyDescent="0.2">
      <c r="A48" s="8" t="s">
        <v>90</v>
      </c>
      <c r="B48" s="9">
        <v>6242</v>
      </c>
      <c r="C48" s="9">
        <v>5129</v>
      </c>
      <c r="D48" s="9">
        <v>1113</v>
      </c>
      <c r="E48" s="10">
        <v>0.82169176545978895</v>
      </c>
      <c r="F48" s="9">
        <v>1377</v>
      </c>
      <c r="G48" s="9">
        <v>623</v>
      </c>
      <c r="H48" s="9">
        <v>655</v>
      </c>
      <c r="I48" s="10">
        <v>0.475671750181554</v>
      </c>
      <c r="J48" s="9">
        <v>88</v>
      </c>
      <c r="K48" s="9">
        <v>70</v>
      </c>
      <c r="L48" s="9">
        <v>2633</v>
      </c>
    </row>
    <row r="49" spans="1:12" x14ac:dyDescent="0.2">
      <c r="A49" s="8" t="s">
        <v>98</v>
      </c>
      <c r="B49" s="9">
        <v>5622</v>
      </c>
      <c r="C49" s="9">
        <v>4200</v>
      </c>
      <c r="D49" s="9">
        <v>1422</v>
      </c>
      <c r="E49" s="10">
        <v>0.747065101387407</v>
      </c>
      <c r="F49" s="9">
        <v>1189</v>
      </c>
      <c r="G49" s="9">
        <v>583</v>
      </c>
      <c r="H49" s="9">
        <v>423</v>
      </c>
      <c r="I49" s="10">
        <v>0.35576114381833501</v>
      </c>
      <c r="J49" s="9">
        <v>43</v>
      </c>
      <c r="K49" s="9">
        <v>70</v>
      </c>
      <c r="L49" s="9">
        <v>2114</v>
      </c>
    </row>
    <row r="50" spans="1:12" x14ac:dyDescent="0.2">
      <c r="A50" s="8" t="s">
        <v>93</v>
      </c>
      <c r="B50" s="9">
        <v>5621</v>
      </c>
      <c r="C50" s="9">
        <v>3549</v>
      </c>
      <c r="D50" s="9">
        <v>2072</v>
      </c>
      <c r="E50" s="10">
        <v>0.63138231631382302</v>
      </c>
      <c r="F50" s="9">
        <v>1420</v>
      </c>
      <c r="G50" s="9">
        <v>686</v>
      </c>
      <c r="H50" s="9">
        <v>677</v>
      </c>
      <c r="I50" s="10">
        <v>0.476760563380282</v>
      </c>
      <c r="J50" s="9">
        <v>95</v>
      </c>
      <c r="K50" s="9">
        <v>5</v>
      </c>
      <c r="L50" s="9">
        <v>1805</v>
      </c>
    </row>
    <row r="51" spans="1:12" x14ac:dyDescent="0.2">
      <c r="A51" s="8" t="s">
        <v>96</v>
      </c>
      <c r="B51" s="9">
        <v>5318</v>
      </c>
      <c r="C51" s="9">
        <v>2830</v>
      </c>
      <c r="D51" s="9">
        <v>2488</v>
      </c>
      <c r="E51" s="10">
        <v>0.53215494546822095</v>
      </c>
      <c r="F51" s="9">
        <v>1445</v>
      </c>
      <c r="G51" s="9">
        <v>720</v>
      </c>
      <c r="H51" s="9">
        <v>627</v>
      </c>
      <c r="I51" s="10">
        <v>0.433910034602076</v>
      </c>
      <c r="J51" s="9">
        <v>36</v>
      </c>
      <c r="K51" s="9">
        <v>11</v>
      </c>
      <c r="L51" s="9">
        <v>1438</v>
      </c>
    </row>
    <row r="52" spans="1:12" x14ac:dyDescent="0.2">
      <c r="A52" s="8" t="s">
        <v>89</v>
      </c>
      <c r="B52" s="9">
        <v>5220</v>
      </c>
      <c r="C52" s="9">
        <v>2695</v>
      </c>
      <c r="D52" s="9">
        <v>2525</v>
      </c>
      <c r="E52" s="10">
        <v>0.51628352490421503</v>
      </c>
      <c r="F52" s="9">
        <v>1402</v>
      </c>
      <c r="G52" s="9">
        <v>913</v>
      </c>
      <c r="H52" s="9">
        <v>471</v>
      </c>
      <c r="I52" s="10">
        <v>0.33594864479315301</v>
      </c>
      <c r="J52" s="9">
        <v>38</v>
      </c>
      <c r="K52" s="9">
        <v>1</v>
      </c>
      <c r="L52" s="9">
        <v>1389</v>
      </c>
    </row>
    <row r="53" spans="1:12" x14ac:dyDescent="0.2">
      <c r="A53" s="8" t="s">
        <v>117</v>
      </c>
      <c r="B53" s="9">
        <v>5135</v>
      </c>
      <c r="C53" s="9">
        <v>3538</v>
      </c>
      <c r="D53" s="9">
        <v>1597</v>
      </c>
      <c r="E53" s="10">
        <v>0.68899707887049699</v>
      </c>
      <c r="F53" s="9">
        <v>1418</v>
      </c>
      <c r="G53" s="9">
        <v>843</v>
      </c>
      <c r="H53" s="9">
        <v>503</v>
      </c>
      <c r="I53" s="10">
        <v>0.354724964739069</v>
      </c>
      <c r="J53" s="9">
        <v>144</v>
      </c>
      <c r="K53" s="9">
        <v>128</v>
      </c>
      <c r="L53" s="9">
        <v>1876</v>
      </c>
    </row>
    <row r="54" spans="1:12" x14ac:dyDescent="0.2">
      <c r="A54" s="8" t="s">
        <v>99</v>
      </c>
      <c r="B54" s="9">
        <v>5129</v>
      </c>
      <c r="C54" s="9">
        <v>2768</v>
      </c>
      <c r="D54" s="9">
        <v>2361</v>
      </c>
      <c r="E54" s="10">
        <v>0.53967635016572402</v>
      </c>
      <c r="F54" s="9">
        <v>1118</v>
      </c>
      <c r="G54" s="9">
        <v>456</v>
      </c>
      <c r="H54" s="9">
        <v>593</v>
      </c>
      <c r="I54" s="10">
        <v>0.53041144901610005</v>
      </c>
      <c r="J54" s="9">
        <v>38</v>
      </c>
      <c r="K54" s="9">
        <v>5</v>
      </c>
      <c r="L54" s="9">
        <v>1436</v>
      </c>
    </row>
    <row r="55" spans="1:12" x14ac:dyDescent="0.2">
      <c r="A55" s="8" t="s">
        <v>101</v>
      </c>
      <c r="B55" s="9">
        <v>5006</v>
      </c>
      <c r="C55" s="9">
        <v>2764</v>
      </c>
      <c r="D55" s="9">
        <v>2242</v>
      </c>
      <c r="E55" s="10">
        <v>0.55213743507790702</v>
      </c>
      <c r="F55" s="9">
        <v>1245</v>
      </c>
      <c r="G55" s="9">
        <v>683</v>
      </c>
      <c r="H55" s="9">
        <v>294</v>
      </c>
      <c r="I55" s="10">
        <v>0.236144578313253</v>
      </c>
      <c r="J55" s="9">
        <v>25</v>
      </c>
      <c r="K55" s="9">
        <v>179</v>
      </c>
      <c r="L55" s="9">
        <v>1446</v>
      </c>
    </row>
    <row r="56" spans="1:12" x14ac:dyDescent="0.2">
      <c r="A56" s="8" t="s">
        <v>97</v>
      </c>
      <c r="B56" s="9">
        <v>4548</v>
      </c>
      <c r="C56" s="9">
        <v>2723</v>
      </c>
      <c r="D56" s="9">
        <v>1825</v>
      </c>
      <c r="E56" s="10">
        <v>0.59872471416007</v>
      </c>
      <c r="F56" s="9">
        <v>1190</v>
      </c>
      <c r="G56" s="9">
        <v>616</v>
      </c>
      <c r="H56" s="9">
        <v>546</v>
      </c>
      <c r="I56" s="10">
        <v>0.45882352941176502</v>
      </c>
      <c r="J56" s="9">
        <v>81</v>
      </c>
      <c r="K56" s="9">
        <v>1</v>
      </c>
      <c r="L56" s="9">
        <v>1419</v>
      </c>
    </row>
    <row r="57" spans="1:12" x14ac:dyDescent="0.2">
      <c r="A57" s="8" t="s">
        <v>118</v>
      </c>
      <c r="B57" s="9">
        <v>2442</v>
      </c>
      <c r="C57" s="9">
        <v>1481</v>
      </c>
      <c r="D57" s="9">
        <v>961</v>
      </c>
      <c r="E57" s="10">
        <v>0.60647010647010702</v>
      </c>
      <c r="F57" s="9">
        <v>689</v>
      </c>
      <c r="G57" s="9">
        <v>417</v>
      </c>
      <c r="H57" s="9">
        <v>257</v>
      </c>
      <c r="I57" s="10">
        <v>0.37300435413643002</v>
      </c>
      <c r="J57" s="9">
        <v>101</v>
      </c>
      <c r="K57" s="9">
        <v>0</v>
      </c>
      <c r="L57" s="9">
        <v>833</v>
      </c>
    </row>
    <row r="58" spans="1:12" x14ac:dyDescent="0.2">
      <c r="A58" s="8" t="s">
        <v>119</v>
      </c>
      <c r="B58" s="9">
        <v>2132</v>
      </c>
      <c r="C58" s="9">
        <v>1887</v>
      </c>
      <c r="D58" s="9">
        <v>245</v>
      </c>
      <c r="E58" s="10">
        <v>0.88508442776735496</v>
      </c>
      <c r="F58" s="9">
        <v>504</v>
      </c>
      <c r="G58" s="9">
        <v>292</v>
      </c>
      <c r="H58" s="9">
        <v>209</v>
      </c>
      <c r="I58" s="10">
        <v>0.41468253968253999</v>
      </c>
      <c r="J58" s="9">
        <v>52</v>
      </c>
      <c r="K58" s="9">
        <v>0</v>
      </c>
      <c r="L58" s="9">
        <v>999</v>
      </c>
    </row>
    <row r="59" spans="1:12" x14ac:dyDescent="0.2">
      <c r="A59" s="20" t="s">
        <v>103</v>
      </c>
      <c r="B59" s="12">
        <f>SUM(B5:B58)</f>
        <v>968470</v>
      </c>
      <c r="C59" s="12">
        <f>SUM(C5:C58)</f>
        <v>638153</v>
      </c>
      <c r="D59" s="12">
        <f>SUM(D5:D58)</f>
        <v>330317</v>
      </c>
      <c r="F59" s="12">
        <f>SUM(F5:F58)</f>
        <v>234133</v>
      </c>
      <c r="G59" s="12">
        <f>SUM(G5:G58)</f>
        <v>128678</v>
      </c>
      <c r="H59" s="12">
        <f>SUM(H5:H58)</f>
        <v>94990</v>
      </c>
      <c r="J59" s="12">
        <f>SUM(J5:J58)</f>
        <v>20848</v>
      </c>
      <c r="K59" s="12">
        <f>SUM(K5:K58)</f>
        <v>3976</v>
      </c>
      <c r="L59" s="12">
        <f>SUM(L5:L58)</f>
        <v>327644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1"/>
  <sheetViews>
    <sheetView zoomScaleNormal="100" workbookViewId="0">
      <selection activeCell="E14" sqref="E14"/>
    </sheetView>
  </sheetViews>
  <sheetFormatPr baseColWidth="10" defaultColWidth="8.6640625" defaultRowHeight="15" x14ac:dyDescent="0.2"/>
  <cols>
    <col min="1" max="1" width="22" customWidth="1"/>
    <col min="2" max="7" width="10" customWidth="1"/>
    <col min="8" max="9" width="12" customWidth="1"/>
    <col min="10" max="11" width="10" customWidth="1"/>
    <col min="12" max="12" width="12" customWidth="1"/>
  </cols>
  <sheetData>
    <row r="1" spans="1:12" ht="17" x14ac:dyDescent="0.2">
      <c r="A1" s="14" t="s">
        <v>120</v>
      </c>
    </row>
    <row r="2" spans="1:12" x14ac:dyDescent="0.2">
      <c r="A2" s="2" t="s">
        <v>121</v>
      </c>
    </row>
    <row r="4" spans="1:12" ht="26" x14ac:dyDescent="0.2">
      <c r="A4" s="7" t="s">
        <v>45</v>
      </c>
      <c r="B4" s="7" t="s">
        <v>122</v>
      </c>
      <c r="C4" s="7" t="s">
        <v>123</v>
      </c>
      <c r="D4" s="7" t="s">
        <v>124</v>
      </c>
      <c r="E4" s="7" t="s">
        <v>125</v>
      </c>
      <c r="F4" s="7" t="s">
        <v>126</v>
      </c>
      <c r="G4" s="7" t="s">
        <v>127</v>
      </c>
      <c r="H4" s="7" t="s">
        <v>128</v>
      </c>
      <c r="I4" s="7" t="s">
        <v>129</v>
      </c>
      <c r="J4" s="7" t="s">
        <v>130</v>
      </c>
      <c r="K4" s="7" t="s">
        <v>131</v>
      </c>
      <c r="L4" s="7" t="s">
        <v>132</v>
      </c>
    </row>
    <row r="5" spans="1:12" x14ac:dyDescent="0.2">
      <c r="A5" s="8" t="s">
        <v>57</v>
      </c>
      <c r="B5" s="9">
        <v>75163</v>
      </c>
      <c r="C5" s="9">
        <v>113540</v>
      </c>
      <c r="D5" s="9">
        <v>38377</v>
      </c>
      <c r="E5" s="10">
        <v>0.51058366483509199</v>
      </c>
      <c r="F5" s="9">
        <v>37270</v>
      </c>
      <c r="G5" s="10">
        <v>0.495855673669226</v>
      </c>
      <c r="H5" s="9">
        <v>48087</v>
      </c>
      <c r="I5" s="10">
        <v>0.42352474898714099</v>
      </c>
      <c r="J5" s="9">
        <v>37798</v>
      </c>
      <c r="K5" s="9">
        <v>65453</v>
      </c>
      <c r="L5" s="10">
        <v>0.73165246838457099</v>
      </c>
    </row>
    <row r="6" spans="1:12" x14ac:dyDescent="0.2">
      <c r="A6" s="8" t="s">
        <v>56</v>
      </c>
      <c r="B6" s="9">
        <v>78374</v>
      </c>
      <c r="C6" s="9">
        <v>88257</v>
      </c>
      <c r="D6" s="9">
        <v>9883</v>
      </c>
      <c r="E6" s="10">
        <v>0.126100492510271</v>
      </c>
      <c r="F6" s="9">
        <v>16445</v>
      </c>
      <c r="G6" s="10">
        <v>0.20982723862505401</v>
      </c>
      <c r="H6" s="9">
        <v>16628</v>
      </c>
      <c r="I6" s="10">
        <v>0.188404319204142</v>
      </c>
      <c r="J6" s="9">
        <v>61871</v>
      </c>
      <c r="K6" s="9">
        <v>71629</v>
      </c>
      <c r="L6" s="10">
        <v>0.15771524623814101</v>
      </c>
    </row>
    <row r="7" spans="1:12" x14ac:dyDescent="0.2">
      <c r="A7" s="8" t="s">
        <v>58</v>
      </c>
      <c r="B7" s="9">
        <v>38029</v>
      </c>
      <c r="C7" s="9">
        <v>49386</v>
      </c>
      <c r="D7" s="9">
        <v>11357</v>
      </c>
      <c r="E7" s="10">
        <v>0.29864051118883</v>
      </c>
      <c r="F7" s="9">
        <v>15111</v>
      </c>
      <c r="G7" s="10">
        <v>0.39735465039838003</v>
      </c>
      <c r="H7" s="9">
        <v>15249</v>
      </c>
      <c r="I7" s="10">
        <v>0.30877171668084102</v>
      </c>
      <c r="J7" s="9">
        <v>22904</v>
      </c>
      <c r="K7" s="9">
        <v>34137</v>
      </c>
      <c r="L7" s="10">
        <v>0.49043835137967201</v>
      </c>
    </row>
    <row r="8" spans="1:12" x14ac:dyDescent="0.2">
      <c r="A8" s="16" t="s">
        <v>79</v>
      </c>
      <c r="B8" s="17">
        <v>11933</v>
      </c>
      <c r="C8" s="17">
        <v>42753</v>
      </c>
      <c r="D8" s="17">
        <v>30820</v>
      </c>
      <c r="E8" s="18">
        <v>2.5827537082041401</v>
      </c>
      <c r="F8" s="17">
        <v>4194</v>
      </c>
      <c r="G8" s="18">
        <v>0.35146233135003802</v>
      </c>
      <c r="H8" s="17">
        <v>12770</v>
      </c>
      <c r="I8" s="18">
        <v>0.298692489415947</v>
      </c>
      <c r="J8" s="17">
        <v>7734</v>
      </c>
      <c r="K8" s="17">
        <v>29983</v>
      </c>
      <c r="L8" s="18">
        <v>2.8767778639772401</v>
      </c>
    </row>
    <row r="9" spans="1:12" x14ac:dyDescent="0.2">
      <c r="A9" s="8" t="s">
        <v>62</v>
      </c>
      <c r="B9" s="9">
        <v>24148</v>
      </c>
      <c r="C9" s="9">
        <v>38661</v>
      </c>
      <c r="D9" s="9">
        <v>14513</v>
      </c>
      <c r="E9" s="10">
        <v>0.601002153387444</v>
      </c>
      <c r="F9" s="9">
        <v>7419</v>
      </c>
      <c r="G9" s="10">
        <v>0.307230412456518</v>
      </c>
      <c r="H9" s="9">
        <v>9359</v>
      </c>
      <c r="I9" s="10">
        <v>0.24207858048162201</v>
      </c>
      <c r="J9" s="9">
        <v>16710</v>
      </c>
      <c r="K9" s="9">
        <v>29302</v>
      </c>
      <c r="L9" s="10">
        <v>0.75356074207061596</v>
      </c>
    </row>
    <row r="10" spans="1:12" x14ac:dyDescent="0.2">
      <c r="A10" s="8" t="s">
        <v>59</v>
      </c>
      <c r="B10" s="9">
        <v>34305</v>
      </c>
      <c r="C10" s="9">
        <v>31689</v>
      </c>
      <c r="D10" s="9">
        <v>-2616</v>
      </c>
      <c r="E10" s="10">
        <v>-7.6257105378224804E-2</v>
      </c>
      <c r="F10" s="9">
        <v>19092</v>
      </c>
      <c r="G10" s="10">
        <v>0.556536947966769</v>
      </c>
      <c r="H10" s="9">
        <v>14575</v>
      </c>
      <c r="I10" s="10">
        <v>0.45993878001830302</v>
      </c>
      <c r="J10" s="9">
        <v>15212</v>
      </c>
      <c r="K10" s="9">
        <v>17114</v>
      </c>
      <c r="L10" s="10">
        <v>0.12503286878779901</v>
      </c>
    </row>
    <row r="11" spans="1:12" x14ac:dyDescent="0.2">
      <c r="A11" s="8" t="s">
        <v>60</v>
      </c>
      <c r="B11" s="9">
        <v>29821</v>
      </c>
      <c r="C11" s="9">
        <v>31224</v>
      </c>
      <c r="D11" s="9">
        <v>1403</v>
      </c>
      <c r="E11" s="10">
        <v>4.7047382716877403E-2</v>
      </c>
      <c r="F11" s="9">
        <v>14254</v>
      </c>
      <c r="G11" s="10">
        <v>0.47798531236377101</v>
      </c>
      <c r="H11" s="9">
        <v>13322</v>
      </c>
      <c r="I11" s="10">
        <v>0.426658980271586</v>
      </c>
      <c r="J11" s="9">
        <v>15566</v>
      </c>
      <c r="K11" s="9">
        <v>17902</v>
      </c>
      <c r="L11" s="10">
        <v>0.15007066683798001</v>
      </c>
    </row>
    <row r="12" spans="1:12" x14ac:dyDescent="0.2">
      <c r="A12" s="8" t="s">
        <v>75</v>
      </c>
      <c r="B12" s="9">
        <v>14200</v>
      </c>
      <c r="C12" s="9">
        <v>25434</v>
      </c>
      <c r="D12" s="9">
        <v>11234</v>
      </c>
      <c r="E12" s="10">
        <v>0.79112676056338005</v>
      </c>
      <c r="F12" s="9">
        <v>2351</v>
      </c>
      <c r="G12" s="10">
        <v>0.16556338028168999</v>
      </c>
      <c r="H12" s="9">
        <v>4355</v>
      </c>
      <c r="I12" s="10">
        <v>0.1712274907604</v>
      </c>
      <c r="J12" s="9">
        <v>11838</v>
      </c>
      <c r="K12" s="9">
        <v>21079</v>
      </c>
      <c r="L12" s="10">
        <v>0.78062172664301399</v>
      </c>
    </row>
    <row r="13" spans="1:12" x14ac:dyDescent="0.2">
      <c r="A13" s="8" t="s">
        <v>61</v>
      </c>
      <c r="B13" s="9">
        <v>26941</v>
      </c>
      <c r="C13" s="9">
        <v>23968</v>
      </c>
      <c r="D13" s="9">
        <v>-2973</v>
      </c>
      <c r="E13" s="10">
        <v>-0.11035225121561899</v>
      </c>
      <c r="F13" s="9">
        <v>16376</v>
      </c>
      <c r="G13" s="10">
        <v>0.60784677628892803</v>
      </c>
      <c r="H13" s="9">
        <v>12888</v>
      </c>
      <c r="I13" s="10">
        <v>0.53771695594125501</v>
      </c>
      <c r="J13" s="9">
        <v>10563</v>
      </c>
      <c r="K13" s="9">
        <v>11080</v>
      </c>
      <c r="L13" s="10">
        <v>4.8944428666098702E-2</v>
      </c>
    </row>
    <row r="14" spans="1:12" x14ac:dyDescent="0.2">
      <c r="A14" s="8" t="s">
        <v>63</v>
      </c>
      <c r="B14" s="9">
        <v>22198</v>
      </c>
      <c r="C14" s="9">
        <v>23539</v>
      </c>
      <c r="D14" s="9">
        <v>1341</v>
      </c>
      <c r="E14" s="10">
        <v>6.0410847824128297E-2</v>
      </c>
      <c r="F14" s="9">
        <v>14965</v>
      </c>
      <c r="G14" s="10">
        <v>0.67415983421929904</v>
      </c>
      <c r="H14" s="9">
        <v>14812</v>
      </c>
      <c r="I14" s="10">
        <v>0.62925357916649005</v>
      </c>
      <c r="J14" s="9">
        <v>7230</v>
      </c>
      <c r="K14" s="9">
        <v>8727</v>
      </c>
      <c r="L14" s="10">
        <v>0.20705394190871401</v>
      </c>
    </row>
    <row r="15" spans="1:12" x14ac:dyDescent="0.2">
      <c r="A15" s="8" t="s">
        <v>71</v>
      </c>
      <c r="B15" s="9">
        <v>16510</v>
      </c>
      <c r="C15" s="9">
        <v>23374</v>
      </c>
      <c r="D15" s="9">
        <v>6864</v>
      </c>
      <c r="E15" s="10">
        <v>0.41574803149606299</v>
      </c>
      <c r="F15" s="9">
        <v>6592</v>
      </c>
      <c r="G15" s="10">
        <v>0.39927316777710498</v>
      </c>
      <c r="H15" s="9">
        <v>8215</v>
      </c>
      <c r="I15" s="10">
        <v>0.35145888594164498</v>
      </c>
      <c r="J15" s="9">
        <v>9907</v>
      </c>
      <c r="K15" s="9">
        <v>15159</v>
      </c>
      <c r="L15" s="10">
        <v>0.53013021096194601</v>
      </c>
    </row>
    <row r="16" spans="1:12" x14ac:dyDescent="0.2">
      <c r="A16" s="8" t="s">
        <v>66</v>
      </c>
      <c r="B16" s="9">
        <v>19107</v>
      </c>
      <c r="C16" s="9">
        <v>19890</v>
      </c>
      <c r="D16" s="9">
        <v>783</v>
      </c>
      <c r="E16" s="10">
        <v>4.0979745642958101E-2</v>
      </c>
      <c r="F16" s="9">
        <v>7604</v>
      </c>
      <c r="G16" s="10">
        <v>0.397969330611818</v>
      </c>
      <c r="H16" s="9">
        <v>5467</v>
      </c>
      <c r="I16" s="10">
        <v>0.274861739567622</v>
      </c>
      <c r="J16" s="9">
        <v>11500</v>
      </c>
      <c r="K16" s="9">
        <v>14423</v>
      </c>
      <c r="L16" s="10">
        <v>0.25417391304347797</v>
      </c>
    </row>
    <row r="17" spans="1:12" x14ac:dyDescent="0.2">
      <c r="A17" s="8" t="s">
        <v>67</v>
      </c>
      <c r="B17" s="9">
        <v>18603</v>
      </c>
      <c r="C17" s="9">
        <v>19789</v>
      </c>
      <c r="D17" s="9">
        <v>1186</v>
      </c>
      <c r="E17" s="10">
        <v>6.3753158092780704E-2</v>
      </c>
      <c r="F17" s="9">
        <v>7813</v>
      </c>
      <c r="G17" s="10">
        <v>0.41998602375960897</v>
      </c>
      <c r="H17" s="9">
        <v>7947</v>
      </c>
      <c r="I17" s="10">
        <v>0.40158674010814099</v>
      </c>
      <c r="J17" s="9">
        <v>10790</v>
      </c>
      <c r="K17" s="9">
        <v>11842</v>
      </c>
      <c r="L17" s="10">
        <v>9.7497683039851707E-2</v>
      </c>
    </row>
    <row r="18" spans="1:12" x14ac:dyDescent="0.2">
      <c r="A18" s="8" t="s">
        <v>64</v>
      </c>
      <c r="B18" s="9">
        <v>21563</v>
      </c>
      <c r="C18" s="9">
        <v>19550</v>
      </c>
      <c r="D18" s="9">
        <v>-2013</v>
      </c>
      <c r="E18" s="10">
        <v>-9.3354357000417401E-2</v>
      </c>
      <c r="F18" s="9">
        <v>5842</v>
      </c>
      <c r="G18" s="10">
        <v>0.27092705096693398</v>
      </c>
      <c r="H18" s="9">
        <v>4342</v>
      </c>
      <c r="I18" s="10">
        <v>0.222097186700767</v>
      </c>
      <c r="J18" s="9">
        <v>15700</v>
      </c>
      <c r="K18" s="9">
        <v>15208</v>
      </c>
      <c r="L18" s="10">
        <v>-3.1337579617834399E-2</v>
      </c>
    </row>
    <row r="19" spans="1:12" x14ac:dyDescent="0.2">
      <c r="A19" s="8" t="s">
        <v>84</v>
      </c>
      <c r="B19" s="9">
        <v>9550</v>
      </c>
      <c r="C19" s="9">
        <v>18712</v>
      </c>
      <c r="D19" s="9">
        <v>9162</v>
      </c>
      <c r="E19" s="10">
        <v>0.95937172774869095</v>
      </c>
      <c r="F19" s="9">
        <v>2346</v>
      </c>
      <c r="G19" s="10">
        <v>0.24565445026178001</v>
      </c>
      <c r="H19" s="9">
        <v>5811</v>
      </c>
      <c r="I19" s="10">
        <v>0.31054938007695598</v>
      </c>
      <c r="J19" s="9">
        <v>7204</v>
      </c>
      <c r="K19" s="9">
        <v>12901</v>
      </c>
      <c r="L19" s="10">
        <v>0.79081066074403095</v>
      </c>
    </row>
    <row r="20" spans="1:12" x14ac:dyDescent="0.2">
      <c r="A20" s="8" t="s">
        <v>94</v>
      </c>
      <c r="B20" s="9">
        <v>5577</v>
      </c>
      <c r="C20" s="9">
        <v>18654</v>
      </c>
      <c r="D20" s="9">
        <v>13077</v>
      </c>
      <c r="E20" s="10">
        <v>2.3448090371167298</v>
      </c>
      <c r="F20" s="9">
        <v>2220</v>
      </c>
      <c r="G20" s="10">
        <v>0.39806347498655198</v>
      </c>
      <c r="H20" s="9">
        <v>5612</v>
      </c>
      <c r="I20" s="10">
        <v>0.30084700332368403</v>
      </c>
      <c r="J20" s="9">
        <v>3314</v>
      </c>
      <c r="K20" s="9">
        <v>13042</v>
      </c>
      <c r="L20" s="10">
        <v>2.9354254677127298</v>
      </c>
    </row>
    <row r="21" spans="1:12" x14ac:dyDescent="0.2">
      <c r="A21" s="8" t="s">
        <v>65</v>
      </c>
      <c r="B21" s="9">
        <v>19427</v>
      </c>
      <c r="C21" s="9">
        <v>18059</v>
      </c>
      <c r="D21" s="9">
        <v>-1368</v>
      </c>
      <c r="E21" s="10">
        <v>-7.0417460235754403E-2</v>
      </c>
      <c r="F21" s="9">
        <v>14726</v>
      </c>
      <c r="G21" s="10">
        <v>0.75801719256704603</v>
      </c>
      <c r="H21" s="9">
        <v>12167</v>
      </c>
      <c r="I21" s="10">
        <v>0.67373608726950596</v>
      </c>
      <c r="J21" s="9">
        <v>4697</v>
      </c>
      <c r="K21" s="9">
        <v>5892</v>
      </c>
      <c r="L21" s="10">
        <v>0.25441771343410702</v>
      </c>
    </row>
    <row r="22" spans="1:12" x14ac:dyDescent="0.2">
      <c r="A22" s="8" t="s">
        <v>70</v>
      </c>
      <c r="B22" s="9">
        <v>16919</v>
      </c>
      <c r="C22" s="9">
        <v>16516</v>
      </c>
      <c r="D22" s="9">
        <v>-403</v>
      </c>
      <c r="E22" s="10">
        <v>-2.3819374667533501E-2</v>
      </c>
      <c r="F22" s="9">
        <v>9410</v>
      </c>
      <c r="G22" s="10">
        <v>0.55617944322950497</v>
      </c>
      <c r="H22" s="9">
        <v>8495</v>
      </c>
      <c r="I22" s="10">
        <v>0.51434972148219904</v>
      </c>
      <c r="J22" s="9">
        <v>7508</v>
      </c>
      <c r="K22" s="9">
        <v>8021</v>
      </c>
      <c r="L22" s="10">
        <v>6.8327117741076193E-2</v>
      </c>
    </row>
    <row r="23" spans="1:12" x14ac:dyDescent="0.2">
      <c r="A23" s="8" t="s">
        <v>78</v>
      </c>
      <c r="B23" s="9">
        <v>13096</v>
      </c>
      <c r="C23" s="9">
        <v>14568</v>
      </c>
      <c r="D23" s="9">
        <v>1472</v>
      </c>
      <c r="E23" s="10">
        <v>0.112400733048259</v>
      </c>
      <c r="F23" s="9">
        <v>6804</v>
      </c>
      <c r="G23" s="10">
        <v>0.51954795357361006</v>
      </c>
      <c r="H23" s="9">
        <v>6746</v>
      </c>
      <c r="I23" s="10">
        <v>0.46306974190005501</v>
      </c>
      <c r="J23" s="9">
        <v>6288</v>
      </c>
      <c r="K23" s="9">
        <v>7822</v>
      </c>
      <c r="L23" s="10">
        <v>0.243956743002545</v>
      </c>
    </row>
    <row r="24" spans="1:12" x14ac:dyDescent="0.2">
      <c r="A24" s="8" t="s">
        <v>69</v>
      </c>
      <c r="B24" s="9">
        <v>17210</v>
      </c>
      <c r="C24" s="9">
        <v>14502</v>
      </c>
      <c r="D24" s="9">
        <v>-2708</v>
      </c>
      <c r="E24" s="10">
        <v>-0.15735037768739099</v>
      </c>
      <c r="F24" s="9">
        <v>13114</v>
      </c>
      <c r="G24" s="10">
        <v>0.76199883788495104</v>
      </c>
      <c r="H24" s="9">
        <v>10521</v>
      </c>
      <c r="I24" s="10">
        <v>0.72548613984277999</v>
      </c>
      <c r="J24" s="9">
        <v>4096</v>
      </c>
      <c r="K24" s="9">
        <v>3981</v>
      </c>
      <c r="L24" s="10">
        <v>-2.8076171875E-2</v>
      </c>
    </row>
    <row r="25" spans="1:12" x14ac:dyDescent="0.2">
      <c r="A25" s="8" t="s">
        <v>68</v>
      </c>
      <c r="B25" s="9">
        <v>17689</v>
      </c>
      <c r="C25" s="9">
        <v>14290</v>
      </c>
      <c r="D25" s="9">
        <v>-3399</v>
      </c>
      <c r="E25" s="10">
        <v>-0.192153315619877</v>
      </c>
      <c r="F25" s="9">
        <v>8411</v>
      </c>
      <c r="G25" s="10">
        <v>0.47549324438916801</v>
      </c>
      <c r="H25" s="9">
        <v>6999</v>
      </c>
      <c r="I25" s="10">
        <v>0.48978306508047598</v>
      </c>
      <c r="J25" s="9">
        <v>9277</v>
      </c>
      <c r="K25" s="9">
        <v>7291</v>
      </c>
      <c r="L25" s="10">
        <v>-0.21407782688369101</v>
      </c>
    </row>
    <row r="26" spans="1:12" x14ac:dyDescent="0.2">
      <c r="A26" s="8" t="s">
        <v>74</v>
      </c>
      <c r="B26" s="9">
        <v>14897</v>
      </c>
      <c r="C26" s="9">
        <v>13670</v>
      </c>
      <c r="D26" s="9">
        <v>-1227</v>
      </c>
      <c r="E26" s="10">
        <v>-8.2365576961804396E-2</v>
      </c>
      <c r="F26" s="9">
        <v>4234</v>
      </c>
      <c r="G26" s="10">
        <v>0.28421829898637302</v>
      </c>
      <c r="H26" s="9">
        <v>2849</v>
      </c>
      <c r="I26" s="10">
        <v>0.20841258229700099</v>
      </c>
      <c r="J26" s="9">
        <v>10663</v>
      </c>
      <c r="K26" s="9">
        <v>10821</v>
      </c>
      <c r="L26" s="10">
        <v>1.48175935477821E-2</v>
      </c>
    </row>
    <row r="27" spans="1:12" x14ac:dyDescent="0.2">
      <c r="A27" s="8" t="s">
        <v>77</v>
      </c>
      <c r="B27" s="9">
        <v>13208</v>
      </c>
      <c r="C27" s="9">
        <v>13061</v>
      </c>
      <c r="D27" s="9">
        <v>-147</v>
      </c>
      <c r="E27" s="10">
        <v>-1.1129618413082999E-2</v>
      </c>
      <c r="F27" s="9">
        <v>5454</v>
      </c>
      <c r="G27" s="10">
        <v>0.41293155663234399</v>
      </c>
      <c r="H27" s="9">
        <v>4726</v>
      </c>
      <c r="I27" s="10">
        <v>0.36184059413521202</v>
      </c>
      <c r="J27" s="9">
        <v>7749</v>
      </c>
      <c r="K27" s="9">
        <v>8335</v>
      </c>
      <c r="L27" s="10">
        <v>7.5622660988514695E-2</v>
      </c>
    </row>
    <row r="28" spans="1:12" x14ac:dyDescent="0.2">
      <c r="A28" s="8" t="s">
        <v>81</v>
      </c>
      <c r="B28" s="9">
        <v>11557</v>
      </c>
      <c r="C28" s="9">
        <v>12850</v>
      </c>
      <c r="D28" s="9">
        <v>1293</v>
      </c>
      <c r="E28" s="10">
        <v>0.111880245738514</v>
      </c>
      <c r="F28" s="9">
        <v>1194</v>
      </c>
      <c r="G28" s="10">
        <v>0.10331400882581999</v>
      </c>
      <c r="H28" s="9">
        <v>1034</v>
      </c>
      <c r="I28" s="10">
        <v>8.0466926070038899E-2</v>
      </c>
      <c r="J28" s="9">
        <v>10363</v>
      </c>
      <c r="K28" s="9">
        <v>11816</v>
      </c>
      <c r="L28" s="10">
        <v>0.14021036379426799</v>
      </c>
    </row>
    <row r="29" spans="1:12" x14ac:dyDescent="0.2">
      <c r="A29" s="8" t="s">
        <v>85</v>
      </c>
      <c r="B29" s="9">
        <v>9509</v>
      </c>
      <c r="C29" s="9">
        <v>12744</v>
      </c>
      <c r="D29" s="9">
        <v>3235</v>
      </c>
      <c r="E29" s="10">
        <v>0.34020401724681898</v>
      </c>
      <c r="F29" s="9">
        <v>3627</v>
      </c>
      <c r="G29" s="10">
        <v>0.38142812072773202</v>
      </c>
      <c r="H29" s="9">
        <v>3817</v>
      </c>
      <c r="I29" s="10">
        <v>0.29951349654739501</v>
      </c>
      <c r="J29" s="9">
        <v>5882</v>
      </c>
      <c r="K29" s="9">
        <v>8927</v>
      </c>
      <c r="L29" s="10">
        <v>0.51768106086365195</v>
      </c>
    </row>
    <row r="30" spans="1:12" x14ac:dyDescent="0.2">
      <c r="A30" s="8" t="s">
        <v>76</v>
      </c>
      <c r="B30" s="9">
        <v>14090</v>
      </c>
      <c r="C30" s="9">
        <v>12503</v>
      </c>
      <c r="D30" s="9">
        <v>-1587</v>
      </c>
      <c r="E30" s="10">
        <v>-0.11263307310149</v>
      </c>
      <c r="F30" s="9">
        <v>3987</v>
      </c>
      <c r="G30" s="10">
        <v>0.28296664300922603</v>
      </c>
      <c r="H30" s="9">
        <v>3492</v>
      </c>
      <c r="I30" s="10">
        <v>0.27929296968727502</v>
      </c>
      <c r="J30" s="9">
        <v>10101</v>
      </c>
      <c r="K30" s="9">
        <v>9011</v>
      </c>
      <c r="L30" s="10">
        <v>-0.10791010791010799</v>
      </c>
    </row>
    <row r="31" spans="1:12" x14ac:dyDescent="0.2">
      <c r="A31" s="8" t="s">
        <v>72</v>
      </c>
      <c r="B31" s="9">
        <v>16460</v>
      </c>
      <c r="C31" s="9">
        <v>12119</v>
      </c>
      <c r="D31" s="9">
        <v>-4341</v>
      </c>
      <c r="E31" s="10">
        <v>-0.26373025516403398</v>
      </c>
      <c r="F31" s="9">
        <v>4997</v>
      </c>
      <c r="G31" s="10">
        <v>0.30358444714459298</v>
      </c>
      <c r="H31" s="9">
        <v>2431</v>
      </c>
      <c r="I31" s="10">
        <v>0.200594108424788</v>
      </c>
      <c r="J31" s="9">
        <v>11463</v>
      </c>
      <c r="K31" s="9">
        <v>9688</v>
      </c>
      <c r="L31" s="10">
        <v>-0.15484602634563399</v>
      </c>
    </row>
    <row r="32" spans="1:12" x14ac:dyDescent="0.2">
      <c r="A32" s="8" t="s">
        <v>73</v>
      </c>
      <c r="B32" s="9">
        <v>16403</v>
      </c>
      <c r="C32" s="9">
        <v>11828</v>
      </c>
      <c r="D32" s="9">
        <v>-4575</v>
      </c>
      <c r="E32" s="10">
        <v>-0.278912394074255</v>
      </c>
      <c r="F32" s="9">
        <v>4965</v>
      </c>
      <c r="G32" s="10">
        <v>0.30268853258550299</v>
      </c>
      <c r="H32" s="9">
        <v>2957</v>
      </c>
      <c r="I32" s="10">
        <v>0.25</v>
      </c>
      <c r="J32" s="9">
        <v>11438</v>
      </c>
      <c r="K32" s="9">
        <v>8871</v>
      </c>
      <c r="L32" s="10">
        <v>-0.22442734743836301</v>
      </c>
    </row>
    <row r="33" spans="1:12" x14ac:dyDescent="0.2">
      <c r="A33" s="8" t="s">
        <v>82</v>
      </c>
      <c r="B33" s="9">
        <v>10525</v>
      </c>
      <c r="C33" s="9">
        <v>11340</v>
      </c>
      <c r="D33" s="9">
        <v>815</v>
      </c>
      <c r="E33" s="10">
        <v>7.7434679334916906E-2</v>
      </c>
      <c r="F33" s="9">
        <v>5553</v>
      </c>
      <c r="G33" s="10">
        <v>0.52760095011876496</v>
      </c>
      <c r="H33" s="9">
        <v>5030</v>
      </c>
      <c r="I33" s="10">
        <v>0.44356261022927701</v>
      </c>
      <c r="J33" s="9">
        <v>4971</v>
      </c>
      <c r="K33" s="9">
        <v>6310</v>
      </c>
      <c r="L33" s="10">
        <v>0.26936230134781702</v>
      </c>
    </row>
    <row r="34" spans="1:12" x14ac:dyDescent="0.2">
      <c r="A34" s="8" t="s">
        <v>88</v>
      </c>
      <c r="B34" s="9">
        <v>7103</v>
      </c>
      <c r="C34" s="9">
        <v>11219</v>
      </c>
      <c r="D34" s="9">
        <v>4116</v>
      </c>
      <c r="E34" s="10">
        <v>0.57947346191750004</v>
      </c>
      <c r="F34" s="9">
        <v>2689</v>
      </c>
      <c r="G34" s="10">
        <v>0.37857243418274</v>
      </c>
      <c r="H34" s="9">
        <v>4548</v>
      </c>
      <c r="I34" s="10">
        <v>0.40538372403957601</v>
      </c>
      <c r="J34" s="9">
        <v>4414</v>
      </c>
      <c r="K34" s="9">
        <v>6671</v>
      </c>
      <c r="L34" s="10">
        <v>0.51132759401903005</v>
      </c>
    </row>
    <row r="35" spans="1:12" x14ac:dyDescent="0.2">
      <c r="A35" s="8" t="s">
        <v>83</v>
      </c>
      <c r="B35" s="9">
        <v>10361</v>
      </c>
      <c r="C35" s="9">
        <v>9921</v>
      </c>
      <c r="D35" s="9">
        <v>-440</v>
      </c>
      <c r="E35" s="10">
        <v>-4.2466943345236902E-2</v>
      </c>
      <c r="F35" s="9">
        <v>4727</v>
      </c>
      <c r="G35" s="10">
        <v>0.45623009362030698</v>
      </c>
      <c r="H35" s="9">
        <v>3960</v>
      </c>
      <c r="I35" s="10">
        <v>0.399153311158149</v>
      </c>
      <c r="J35" s="9">
        <v>5634</v>
      </c>
      <c r="K35" s="9">
        <v>5961</v>
      </c>
      <c r="L35" s="10">
        <v>5.8040468583599597E-2</v>
      </c>
    </row>
    <row r="36" spans="1:12" x14ac:dyDescent="0.2">
      <c r="A36" s="8" t="s">
        <v>80</v>
      </c>
      <c r="B36" s="9">
        <v>11825</v>
      </c>
      <c r="C36" s="9">
        <v>9873</v>
      </c>
      <c r="D36" s="9">
        <v>-1952</v>
      </c>
      <c r="E36" s="10">
        <v>-0.16507399577167001</v>
      </c>
      <c r="F36" s="9">
        <v>5533</v>
      </c>
      <c r="G36" s="10">
        <v>0.46790697674418602</v>
      </c>
      <c r="H36" s="9">
        <v>4263</v>
      </c>
      <c r="I36" s="10">
        <v>0.43178365238529298</v>
      </c>
      <c r="J36" s="9">
        <v>6292</v>
      </c>
      <c r="K36" s="9">
        <v>5610</v>
      </c>
      <c r="L36" s="10">
        <v>-0.108391608391608</v>
      </c>
    </row>
    <row r="37" spans="1:12" x14ac:dyDescent="0.2">
      <c r="A37" s="8" t="s">
        <v>92</v>
      </c>
      <c r="B37" s="9">
        <v>6294</v>
      </c>
      <c r="C37" s="9">
        <v>9540</v>
      </c>
      <c r="D37" s="9">
        <v>3246</v>
      </c>
      <c r="E37" s="10">
        <v>0.51572926596758795</v>
      </c>
      <c r="F37" s="9">
        <v>937</v>
      </c>
      <c r="G37" s="10">
        <v>0.14887194153161701</v>
      </c>
      <c r="H37" s="9">
        <v>1513</v>
      </c>
      <c r="I37" s="10">
        <v>0.15859538784067101</v>
      </c>
      <c r="J37" s="9">
        <v>5357</v>
      </c>
      <c r="K37" s="9">
        <v>8027</v>
      </c>
      <c r="L37" s="10">
        <v>0.498413291021094</v>
      </c>
    </row>
    <row r="38" spans="1:12" x14ac:dyDescent="0.2">
      <c r="A38" s="8" t="s">
        <v>86</v>
      </c>
      <c r="B38" s="9">
        <v>7502</v>
      </c>
      <c r="C38" s="9">
        <v>8802</v>
      </c>
      <c r="D38" s="9">
        <v>1300</v>
      </c>
      <c r="E38" s="10">
        <v>0.17328712343375099</v>
      </c>
      <c r="F38" s="9">
        <v>2456</v>
      </c>
      <c r="G38" s="10">
        <v>0.32737936550253299</v>
      </c>
      <c r="H38" s="9">
        <v>2098</v>
      </c>
      <c r="I38" s="10">
        <v>0.23835491933651401</v>
      </c>
      <c r="J38" s="9">
        <v>5046</v>
      </c>
      <c r="K38" s="9">
        <v>6704</v>
      </c>
      <c r="L38" s="10">
        <v>0.328577090764962</v>
      </c>
    </row>
    <row r="39" spans="1:12" x14ac:dyDescent="0.2">
      <c r="A39" s="8" t="s">
        <v>87</v>
      </c>
      <c r="B39" s="9">
        <v>7465</v>
      </c>
      <c r="C39" s="9">
        <v>8775</v>
      </c>
      <c r="D39" s="9">
        <v>1310</v>
      </c>
      <c r="E39" s="10">
        <v>0.175485599464166</v>
      </c>
      <c r="F39" s="9">
        <v>2140</v>
      </c>
      <c r="G39" s="10">
        <v>0.28667113194909599</v>
      </c>
      <c r="H39" s="9">
        <v>2408</v>
      </c>
      <c r="I39" s="10">
        <v>0.27441595441595401</v>
      </c>
      <c r="J39" s="9">
        <v>5325</v>
      </c>
      <c r="K39" s="9">
        <v>6367</v>
      </c>
      <c r="L39" s="10">
        <v>0.19568075117370901</v>
      </c>
    </row>
    <row r="40" spans="1:12" x14ac:dyDescent="0.2">
      <c r="A40" s="8" t="s">
        <v>100</v>
      </c>
      <c r="B40" s="9">
        <v>4717</v>
      </c>
      <c r="C40" s="9">
        <v>8505</v>
      </c>
      <c r="D40" s="9">
        <v>3788</v>
      </c>
      <c r="E40" s="10">
        <v>0.80305278778884903</v>
      </c>
      <c r="F40" s="9">
        <v>1399</v>
      </c>
      <c r="G40" s="10">
        <v>0.29658681365274497</v>
      </c>
      <c r="H40" s="9">
        <v>2499</v>
      </c>
      <c r="I40" s="10">
        <v>0.29382716049382701</v>
      </c>
      <c r="J40" s="9">
        <v>3311</v>
      </c>
      <c r="K40" s="9">
        <v>6006</v>
      </c>
      <c r="L40" s="10">
        <v>0.81395348837209303</v>
      </c>
    </row>
    <row r="41" spans="1:12" x14ac:dyDescent="0.2">
      <c r="A41" s="8" t="s">
        <v>102</v>
      </c>
      <c r="B41" s="9">
        <v>4075</v>
      </c>
      <c r="C41" s="9">
        <v>7886</v>
      </c>
      <c r="D41" s="9">
        <v>3811</v>
      </c>
      <c r="E41" s="10">
        <v>0.93521472392638005</v>
      </c>
      <c r="F41" s="9">
        <v>865</v>
      </c>
      <c r="G41" s="10">
        <v>0.21226993865030699</v>
      </c>
      <c r="H41" s="9">
        <v>1919</v>
      </c>
      <c r="I41" s="10">
        <v>0.243342632513315</v>
      </c>
      <c r="J41" s="9">
        <v>3210</v>
      </c>
      <c r="K41" s="9">
        <v>5967</v>
      </c>
      <c r="L41" s="10">
        <v>0.85887850467289695</v>
      </c>
    </row>
    <row r="42" spans="1:12" x14ac:dyDescent="0.2">
      <c r="A42" s="8" t="s">
        <v>91</v>
      </c>
      <c r="B42" s="9">
        <v>6696</v>
      </c>
      <c r="C42" s="9">
        <v>7851</v>
      </c>
      <c r="D42" s="9">
        <v>1155</v>
      </c>
      <c r="E42" s="10">
        <v>0.172491039426523</v>
      </c>
      <c r="F42" s="9">
        <v>2255</v>
      </c>
      <c r="G42" s="10">
        <v>0.33676821983273603</v>
      </c>
      <c r="H42" s="9">
        <v>2218</v>
      </c>
      <c r="I42" s="10">
        <v>0.28251178193860699</v>
      </c>
      <c r="J42" s="9">
        <v>4441</v>
      </c>
      <c r="K42" s="9">
        <v>5633</v>
      </c>
      <c r="L42" s="10">
        <v>0.26840801621256499</v>
      </c>
    </row>
    <row r="43" spans="1:12" x14ac:dyDescent="0.2">
      <c r="A43" s="8" t="s">
        <v>95</v>
      </c>
      <c r="B43" s="9">
        <v>5507</v>
      </c>
      <c r="C43" s="9">
        <v>7195</v>
      </c>
      <c r="D43" s="9">
        <v>1688</v>
      </c>
      <c r="E43" s="10">
        <v>0.30651897584892002</v>
      </c>
      <c r="F43" s="9">
        <v>927</v>
      </c>
      <c r="G43" s="10">
        <v>0.16833121481750499</v>
      </c>
      <c r="H43" s="9">
        <v>1123</v>
      </c>
      <c r="I43" s="10">
        <v>0.156080611535789</v>
      </c>
      <c r="J43" s="9">
        <v>4580</v>
      </c>
      <c r="K43" s="9">
        <v>6072</v>
      </c>
      <c r="L43" s="10">
        <v>0.32576419213973801</v>
      </c>
    </row>
    <row r="44" spans="1:12" x14ac:dyDescent="0.2">
      <c r="A44" s="8" t="s">
        <v>90</v>
      </c>
      <c r="B44" s="9">
        <v>6710</v>
      </c>
      <c r="C44" s="9">
        <v>6242</v>
      </c>
      <c r="D44" s="9">
        <v>-468</v>
      </c>
      <c r="E44" s="10">
        <v>-6.9746646795827094E-2</v>
      </c>
      <c r="F44" s="9">
        <v>1361</v>
      </c>
      <c r="G44" s="10">
        <v>0.20283159463487299</v>
      </c>
      <c r="H44" s="9">
        <v>1113</v>
      </c>
      <c r="I44" s="10">
        <v>0.178308234540212</v>
      </c>
      <c r="J44" s="9">
        <v>5349</v>
      </c>
      <c r="K44" s="9">
        <v>5129</v>
      </c>
      <c r="L44" s="10">
        <v>-4.1129183024864499E-2</v>
      </c>
    </row>
    <row r="45" spans="1:12" x14ac:dyDescent="0.2">
      <c r="A45" s="8" t="s">
        <v>98</v>
      </c>
      <c r="B45" s="9">
        <v>4805</v>
      </c>
      <c r="C45" s="9">
        <v>5622</v>
      </c>
      <c r="D45" s="9">
        <v>817</v>
      </c>
      <c r="E45" s="10">
        <v>0.17003121748179001</v>
      </c>
      <c r="F45" s="9">
        <v>1159</v>
      </c>
      <c r="G45" s="10">
        <v>0.24120707596253901</v>
      </c>
      <c r="H45" s="9">
        <v>1422</v>
      </c>
      <c r="I45" s="10">
        <v>0.252934898612593</v>
      </c>
      <c r="J45" s="9">
        <v>3646</v>
      </c>
      <c r="K45" s="9">
        <v>4200</v>
      </c>
      <c r="L45" s="10">
        <v>0.15194733955019199</v>
      </c>
    </row>
    <row r="46" spans="1:12" x14ac:dyDescent="0.2">
      <c r="A46" s="8" t="s">
        <v>93</v>
      </c>
      <c r="B46" s="9">
        <v>6116</v>
      </c>
      <c r="C46" s="9">
        <v>5621</v>
      </c>
      <c r="D46" s="9">
        <v>-495</v>
      </c>
      <c r="E46" s="10">
        <v>-8.0935251798561203E-2</v>
      </c>
      <c r="F46" s="9">
        <v>2453</v>
      </c>
      <c r="G46" s="10">
        <v>0.40107913669064799</v>
      </c>
      <c r="H46" s="9">
        <v>2072</v>
      </c>
      <c r="I46" s="10">
        <v>0.36861768368617698</v>
      </c>
      <c r="J46" s="9">
        <v>3662</v>
      </c>
      <c r="K46" s="9">
        <v>3549</v>
      </c>
      <c r="L46" s="10">
        <v>-3.0857454942654301E-2</v>
      </c>
    </row>
    <row r="47" spans="1:12" x14ac:dyDescent="0.2">
      <c r="A47" s="8" t="s">
        <v>96</v>
      </c>
      <c r="B47" s="9">
        <v>5201</v>
      </c>
      <c r="C47" s="9">
        <v>5318</v>
      </c>
      <c r="D47" s="9">
        <v>117</v>
      </c>
      <c r="E47" s="10">
        <v>2.24956739088637E-2</v>
      </c>
      <c r="F47" s="9">
        <v>2487</v>
      </c>
      <c r="G47" s="10">
        <v>0.47817727360123102</v>
      </c>
      <c r="H47" s="9">
        <v>2488</v>
      </c>
      <c r="I47" s="10">
        <v>0.46784505453177899</v>
      </c>
      <c r="J47" s="9">
        <v>2711</v>
      </c>
      <c r="K47" s="9">
        <v>2830</v>
      </c>
      <c r="L47" s="10">
        <v>4.3895241608262602E-2</v>
      </c>
    </row>
    <row r="48" spans="1:12" x14ac:dyDescent="0.2">
      <c r="A48" s="8" t="s">
        <v>89</v>
      </c>
      <c r="B48" s="9">
        <v>6731</v>
      </c>
      <c r="C48" s="9">
        <v>5220</v>
      </c>
      <c r="D48" s="9">
        <v>-1511</v>
      </c>
      <c r="E48" s="10">
        <v>-0.22448373198633201</v>
      </c>
      <c r="F48" s="9">
        <v>3635</v>
      </c>
      <c r="G48" s="10">
        <v>0.54003862724706597</v>
      </c>
      <c r="H48" s="9">
        <v>2525</v>
      </c>
      <c r="I48" s="10">
        <v>0.48371647509578503</v>
      </c>
      <c r="J48" s="9">
        <v>3096</v>
      </c>
      <c r="K48" s="9">
        <v>2695</v>
      </c>
      <c r="L48" s="10">
        <v>-0.12952196382428899</v>
      </c>
    </row>
    <row r="49" spans="1:12" x14ac:dyDescent="0.2">
      <c r="A49" s="8" t="s">
        <v>99</v>
      </c>
      <c r="B49" s="9">
        <v>4802</v>
      </c>
      <c r="C49" s="9">
        <v>5129</v>
      </c>
      <c r="D49" s="9">
        <v>327</v>
      </c>
      <c r="E49" s="10">
        <v>6.8096626405664301E-2</v>
      </c>
      <c r="F49" s="9">
        <v>2384</v>
      </c>
      <c r="G49" s="10">
        <v>0.49645980841316101</v>
      </c>
      <c r="H49" s="9">
        <v>2361</v>
      </c>
      <c r="I49" s="10">
        <v>0.46032364983427598</v>
      </c>
      <c r="J49" s="9">
        <v>2418</v>
      </c>
      <c r="K49" s="9">
        <v>2768</v>
      </c>
      <c r="L49" s="10">
        <v>0.14474772539288699</v>
      </c>
    </row>
    <row r="50" spans="1:12" x14ac:dyDescent="0.2">
      <c r="A50" s="8" t="s">
        <v>101</v>
      </c>
      <c r="B50" s="9">
        <v>4700</v>
      </c>
      <c r="C50" s="9">
        <v>5006</v>
      </c>
      <c r="D50" s="9">
        <v>306</v>
      </c>
      <c r="E50" s="10">
        <v>6.5106382978723398E-2</v>
      </c>
      <c r="F50" s="9">
        <v>2111</v>
      </c>
      <c r="G50" s="10">
        <v>0.44914893617021301</v>
      </c>
      <c r="H50" s="9">
        <v>2242</v>
      </c>
      <c r="I50" s="10">
        <v>0.44786256492209398</v>
      </c>
      <c r="J50" s="9">
        <v>2589</v>
      </c>
      <c r="K50" s="9">
        <v>2764</v>
      </c>
      <c r="L50" s="10">
        <v>6.7593665507918094E-2</v>
      </c>
    </row>
    <row r="51" spans="1:12" x14ac:dyDescent="0.2">
      <c r="A51" s="8" t="s">
        <v>97</v>
      </c>
      <c r="B51" s="9">
        <v>4997</v>
      </c>
      <c r="C51" s="9">
        <v>4548</v>
      </c>
      <c r="D51" s="9">
        <v>-449</v>
      </c>
      <c r="E51" s="10">
        <v>-8.9853912347408402E-2</v>
      </c>
      <c r="F51" s="9">
        <v>2781</v>
      </c>
      <c r="G51" s="10">
        <v>0.55653392035221105</v>
      </c>
      <c r="H51" s="9">
        <v>1825</v>
      </c>
      <c r="I51" s="10">
        <v>0.40127528583993</v>
      </c>
      <c r="J51" s="9">
        <v>2216</v>
      </c>
      <c r="K51" s="9">
        <v>2723</v>
      </c>
      <c r="L51" s="10">
        <v>0.228790613718412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2"/>
  <sheetViews>
    <sheetView topLeftCell="A14" zoomScale="160" zoomScaleNormal="100" workbookViewId="0">
      <selection activeCell="A17" sqref="A17"/>
    </sheetView>
  </sheetViews>
  <sheetFormatPr baseColWidth="10" defaultColWidth="8.6640625" defaultRowHeight="15" x14ac:dyDescent="0.2"/>
  <cols>
    <col min="1" max="1" width="38" customWidth="1"/>
    <col min="2" max="4" width="16" customWidth="1"/>
  </cols>
  <sheetData>
    <row r="1" spans="1:4" ht="17" x14ac:dyDescent="0.2">
      <c r="A1" s="14" t="s">
        <v>133</v>
      </c>
    </row>
    <row r="3" spans="1:4" x14ac:dyDescent="0.2">
      <c r="A3" s="6" t="s">
        <v>134</v>
      </c>
    </row>
    <row r="4" spans="1:4" x14ac:dyDescent="0.2">
      <c r="A4" s="3" t="s">
        <v>135</v>
      </c>
      <c r="B4" s="3" t="s">
        <v>136</v>
      </c>
      <c r="C4" s="3" t="s">
        <v>137</v>
      </c>
      <c r="D4" s="3" t="s">
        <v>125</v>
      </c>
    </row>
    <row r="5" spans="1:4" x14ac:dyDescent="0.2">
      <c r="A5" s="21">
        <v>1900</v>
      </c>
      <c r="B5" s="9">
        <v>3888</v>
      </c>
    </row>
    <row r="6" spans="1:4" x14ac:dyDescent="0.2">
      <c r="A6" s="21">
        <v>1910</v>
      </c>
      <c r="B6" s="9">
        <v>11933</v>
      </c>
      <c r="C6" s="9">
        <v>8045</v>
      </c>
      <c r="D6" s="10">
        <v>2.0691872427983502</v>
      </c>
    </row>
    <row r="7" spans="1:4" x14ac:dyDescent="0.2">
      <c r="A7" s="21">
        <v>1920</v>
      </c>
      <c r="B7" s="9">
        <v>42753</v>
      </c>
      <c r="C7" s="9">
        <v>30820</v>
      </c>
      <c r="D7" s="10">
        <v>2.5827537082041401</v>
      </c>
    </row>
    <row r="9" spans="1:4" x14ac:dyDescent="0.2">
      <c r="A9" s="6" t="s">
        <v>138</v>
      </c>
    </row>
    <row r="10" spans="1:4" x14ac:dyDescent="0.2">
      <c r="A10" s="3" t="s">
        <v>14</v>
      </c>
      <c r="B10" s="3" t="s">
        <v>136</v>
      </c>
      <c r="C10" s="3" t="s">
        <v>139</v>
      </c>
      <c r="D10" s="3" t="s">
        <v>140</v>
      </c>
    </row>
    <row r="11" spans="1:4" x14ac:dyDescent="0.2">
      <c r="A11" s="8" t="s">
        <v>141</v>
      </c>
      <c r="B11" s="9">
        <v>5991</v>
      </c>
      <c r="C11" s="10">
        <v>0.50205312997569795</v>
      </c>
      <c r="D11" s="22" t="s">
        <v>142</v>
      </c>
    </row>
    <row r="12" spans="1:4" x14ac:dyDescent="0.2">
      <c r="A12" s="8" t="s">
        <v>143</v>
      </c>
      <c r="B12" s="9">
        <v>495</v>
      </c>
      <c r="C12" s="10">
        <v>4.1481605631442202E-2</v>
      </c>
      <c r="D12" s="22" t="s">
        <v>144</v>
      </c>
    </row>
    <row r="13" spans="1:4" x14ac:dyDescent="0.2">
      <c r="A13" s="8" t="s">
        <v>145</v>
      </c>
      <c r="B13" s="9">
        <v>524</v>
      </c>
      <c r="C13" s="10">
        <v>4.3911841112880302E-2</v>
      </c>
      <c r="D13" s="22" t="s">
        <v>146</v>
      </c>
    </row>
    <row r="14" spans="1:4" x14ac:dyDescent="0.2">
      <c r="A14" s="8" t="s">
        <v>147</v>
      </c>
      <c r="B14" s="9">
        <v>724</v>
      </c>
      <c r="C14" s="10">
        <v>6.0672085812452897E-2</v>
      </c>
      <c r="D14" s="22" t="s">
        <v>148</v>
      </c>
    </row>
    <row r="15" spans="1:4" x14ac:dyDescent="0.2">
      <c r="A15" s="11" t="s">
        <v>149</v>
      </c>
      <c r="B15" s="12">
        <v>7734</v>
      </c>
      <c r="C15" s="13">
        <v>0.64811866253247297</v>
      </c>
      <c r="D15" s="22"/>
    </row>
    <row r="16" spans="1:4" x14ac:dyDescent="0.2">
      <c r="A16" s="8" t="s">
        <v>150</v>
      </c>
      <c r="B16" s="9">
        <v>2285</v>
      </c>
      <c r="C16" s="10">
        <v>0.19148579569261701</v>
      </c>
      <c r="D16" s="22"/>
    </row>
    <row r="17" spans="1:4" x14ac:dyDescent="0.2">
      <c r="A17" s="8" t="s">
        <v>151</v>
      </c>
      <c r="B17" s="9">
        <v>1909</v>
      </c>
      <c r="C17" s="10">
        <v>0.15997653565742101</v>
      </c>
      <c r="D17" s="22"/>
    </row>
    <row r="18" spans="1:4" x14ac:dyDescent="0.2">
      <c r="A18" s="11" t="s">
        <v>152</v>
      </c>
      <c r="B18" s="12">
        <v>4194</v>
      </c>
      <c r="C18" s="13">
        <v>0.35146233135003802</v>
      </c>
      <c r="D18" s="22" t="s">
        <v>153</v>
      </c>
    </row>
    <row r="19" spans="1:4" x14ac:dyDescent="0.2">
      <c r="A19" s="8" t="s">
        <v>28</v>
      </c>
      <c r="B19" s="9">
        <v>5</v>
      </c>
      <c r="C19" s="10">
        <v>4.1900611748931502E-4</v>
      </c>
      <c r="D19" s="22"/>
    </row>
    <row r="20" spans="1:4" x14ac:dyDescent="0.2">
      <c r="A20" s="11" t="s">
        <v>154</v>
      </c>
      <c r="B20" s="12">
        <v>11933</v>
      </c>
      <c r="C20" s="13">
        <v>1</v>
      </c>
      <c r="D20" s="22"/>
    </row>
    <row r="22" spans="1:4" x14ac:dyDescent="0.2">
      <c r="A22" s="6" t="s">
        <v>30</v>
      </c>
    </row>
    <row r="23" spans="1:4" x14ac:dyDescent="0.2">
      <c r="A23" s="3" t="s">
        <v>14</v>
      </c>
      <c r="B23" s="3" t="s">
        <v>32</v>
      </c>
      <c r="C23" s="3" t="s">
        <v>33</v>
      </c>
      <c r="D23" s="3" t="s">
        <v>140</v>
      </c>
    </row>
    <row r="24" spans="1:4" x14ac:dyDescent="0.2">
      <c r="A24" s="8" t="s">
        <v>34</v>
      </c>
      <c r="B24" s="9">
        <v>42753</v>
      </c>
      <c r="D24" s="22" t="s">
        <v>155</v>
      </c>
    </row>
    <row r="25" spans="1:4" x14ac:dyDescent="0.2">
      <c r="A25" s="8" t="s">
        <v>35</v>
      </c>
      <c r="B25" s="9">
        <v>29983</v>
      </c>
      <c r="C25" s="10">
        <v>0.70130751058405305</v>
      </c>
      <c r="D25" s="22"/>
    </row>
    <row r="26" spans="1:4" x14ac:dyDescent="0.2">
      <c r="A26" s="8" t="s">
        <v>36</v>
      </c>
      <c r="B26" s="9">
        <v>12770</v>
      </c>
      <c r="C26" s="10">
        <v>0.298692489415947</v>
      </c>
      <c r="D26" s="22" t="s">
        <v>156</v>
      </c>
    </row>
    <row r="27" spans="1:4" x14ac:dyDescent="0.2">
      <c r="A27" s="8"/>
      <c r="D27" s="22"/>
    </row>
    <row r="28" spans="1:4" x14ac:dyDescent="0.2">
      <c r="A28" s="8" t="s">
        <v>37</v>
      </c>
      <c r="B28" s="9">
        <v>11014</v>
      </c>
      <c r="D28" s="22"/>
    </row>
    <row r="29" spans="1:4" x14ac:dyDescent="0.2">
      <c r="A29" s="8" t="s">
        <v>38</v>
      </c>
      <c r="B29" s="9">
        <v>6095</v>
      </c>
      <c r="C29" s="10">
        <v>0.55338659887415997</v>
      </c>
      <c r="D29" s="22"/>
    </row>
    <row r="30" spans="1:4" x14ac:dyDescent="0.2">
      <c r="A30" s="8" t="s">
        <v>39</v>
      </c>
      <c r="B30" s="9">
        <v>4388</v>
      </c>
      <c r="C30" s="10">
        <v>0.39840203377519501</v>
      </c>
      <c r="D30" s="22"/>
    </row>
    <row r="31" spans="1:4" x14ac:dyDescent="0.2">
      <c r="A31" s="8" t="s">
        <v>157</v>
      </c>
      <c r="B31" s="9">
        <v>1695</v>
      </c>
      <c r="C31" s="10">
        <v>0.38628076572470399</v>
      </c>
      <c r="D31" s="22"/>
    </row>
    <row r="32" spans="1:4" x14ac:dyDescent="0.2">
      <c r="A32" s="8" t="s">
        <v>158</v>
      </c>
      <c r="B32" s="9">
        <v>96</v>
      </c>
      <c r="C32" s="10">
        <v>2.18778486782133E-2</v>
      </c>
      <c r="D32" s="22"/>
    </row>
    <row r="33" spans="1:4" x14ac:dyDescent="0.2">
      <c r="A33" s="8" t="s">
        <v>159</v>
      </c>
      <c r="B33" s="9">
        <v>531</v>
      </c>
      <c r="C33" s="10">
        <v>0.12101185050136699</v>
      </c>
      <c r="D33" s="22"/>
    </row>
    <row r="34" spans="1:4" x14ac:dyDescent="0.2">
      <c r="A34" s="8" t="s">
        <v>160</v>
      </c>
      <c r="B34" s="9">
        <v>2597</v>
      </c>
      <c r="C34" s="10">
        <v>0.23579081169420699</v>
      </c>
      <c r="D34" s="22"/>
    </row>
    <row r="36" spans="1:4" x14ac:dyDescent="0.2">
      <c r="A36" s="6" t="s">
        <v>161</v>
      </c>
    </row>
    <row r="37" spans="1:4" x14ac:dyDescent="0.2">
      <c r="A37" s="3" t="s">
        <v>31</v>
      </c>
      <c r="B37" s="3" t="s">
        <v>162</v>
      </c>
      <c r="C37" s="3" t="s">
        <v>163</v>
      </c>
      <c r="D37" s="3" t="s">
        <v>164</v>
      </c>
    </row>
    <row r="38" spans="1:4" x14ac:dyDescent="0.2">
      <c r="A38" s="8" t="s">
        <v>165</v>
      </c>
      <c r="B38" s="9">
        <v>11933</v>
      </c>
      <c r="C38" s="9">
        <v>752619</v>
      </c>
      <c r="D38" s="23">
        <v>1.5855299959209101E-2</v>
      </c>
    </row>
    <row r="39" spans="1:4" x14ac:dyDescent="0.2">
      <c r="A39" s="8" t="s">
        <v>166</v>
      </c>
      <c r="B39" s="9">
        <v>724</v>
      </c>
      <c r="C39" s="9">
        <v>33842</v>
      </c>
      <c r="D39" s="23">
        <v>2.1393534661072001E-2</v>
      </c>
    </row>
    <row r="40" spans="1:4" x14ac:dyDescent="0.2">
      <c r="A40" s="8" t="s">
        <v>167</v>
      </c>
      <c r="B40" s="9">
        <v>4194</v>
      </c>
      <c r="C40" s="9">
        <v>308669</v>
      </c>
      <c r="D40" s="23">
        <v>1.35873702898574E-2</v>
      </c>
    </row>
    <row r="41" spans="1:4" x14ac:dyDescent="0.2">
      <c r="A41" s="8" t="s">
        <v>168</v>
      </c>
      <c r="B41" s="9">
        <v>42753</v>
      </c>
      <c r="C41" s="9">
        <v>968470</v>
      </c>
      <c r="D41" s="23">
        <v>4.4144888329013802E-2</v>
      </c>
    </row>
    <row r="42" spans="1:4" x14ac:dyDescent="0.2">
      <c r="A42" s="8" t="s">
        <v>169</v>
      </c>
      <c r="B42" s="9">
        <v>29983</v>
      </c>
      <c r="C42" s="9">
        <v>638153</v>
      </c>
      <c r="D42" s="23">
        <v>4.6984030475450203E-2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6"/>
  <sheetViews>
    <sheetView tabSelected="1" topLeftCell="A4" zoomScale="169" zoomScaleNormal="100" workbookViewId="0">
      <selection activeCell="A16" sqref="A16"/>
    </sheetView>
  </sheetViews>
  <sheetFormatPr baseColWidth="10" defaultColWidth="8.6640625" defaultRowHeight="15" x14ac:dyDescent="0.2"/>
  <cols>
    <col min="1" max="1" width="32" customWidth="1"/>
    <col min="2" max="2" width="90" customWidth="1"/>
  </cols>
  <sheetData>
    <row r="1" spans="1:2" ht="17" x14ac:dyDescent="0.2">
      <c r="A1" s="14" t="s">
        <v>170</v>
      </c>
    </row>
    <row r="3" spans="1:2" x14ac:dyDescent="0.2">
      <c r="A3" s="11"/>
      <c r="B3" s="24"/>
    </row>
    <row r="4" spans="1:2" x14ac:dyDescent="0.2">
      <c r="A4" s="20" t="s">
        <v>171</v>
      </c>
      <c r="B4" s="24"/>
    </row>
    <row r="5" spans="1:2" x14ac:dyDescent="0.2">
      <c r="A5" s="11" t="s">
        <v>172</v>
      </c>
      <c r="B5" s="24" t="s">
        <v>173</v>
      </c>
    </row>
    <row r="6" spans="1:2" x14ac:dyDescent="0.2">
      <c r="A6" s="11" t="s">
        <v>174</v>
      </c>
      <c r="B6" s="24" t="s">
        <v>175</v>
      </c>
    </row>
    <row r="7" spans="1:2" x14ac:dyDescent="0.2">
      <c r="A7" s="11" t="s">
        <v>176</v>
      </c>
      <c r="B7" s="24" t="s">
        <v>177</v>
      </c>
    </row>
    <row r="8" spans="1:2" x14ac:dyDescent="0.2">
      <c r="A8" s="11"/>
      <c r="B8" s="24"/>
    </row>
    <row r="9" spans="1:2" x14ac:dyDescent="0.2">
      <c r="A9" s="20" t="s">
        <v>178</v>
      </c>
      <c r="B9" s="24"/>
    </row>
    <row r="10" spans="1:2" x14ac:dyDescent="0.2">
      <c r="A10" s="11" t="s">
        <v>20</v>
      </c>
      <c r="B10" s="24" t="s">
        <v>179</v>
      </c>
    </row>
    <row r="11" spans="1:2" x14ac:dyDescent="0.2">
      <c r="A11" s="11" t="s">
        <v>22</v>
      </c>
      <c r="B11" s="24" t="s">
        <v>180</v>
      </c>
    </row>
    <row r="12" spans="1:2" x14ac:dyDescent="0.2">
      <c r="A12" s="27" t="s">
        <v>24</v>
      </c>
      <c r="B12" s="24" t="s">
        <v>181</v>
      </c>
    </row>
    <row r="13" spans="1:2" x14ac:dyDescent="0.2">
      <c r="A13" s="11" t="s">
        <v>6</v>
      </c>
      <c r="B13" s="24" t="s">
        <v>182</v>
      </c>
    </row>
    <row r="14" spans="1:2" x14ac:dyDescent="0.2">
      <c r="A14" s="11" t="s">
        <v>11</v>
      </c>
      <c r="B14" s="24" t="s">
        <v>183</v>
      </c>
    </row>
    <row r="15" spans="1:2" x14ac:dyDescent="0.2">
      <c r="A15" s="11"/>
      <c r="B15" s="24"/>
    </row>
    <row r="16" spans="1:2" x14ac:dyDescent="0.2">
      <c r="A16" s="20" t="s">
        <v>184</v>
      </c>
      <c r="B16" s="24"/>
    </row>
    <row r="17" spans="1:2" x14ac:dyDescent="0.2">
      <c r="A17" s="11" t="s">
        <v>185</v>
      </c>
      <c r="B17" s="24" t="s">
        <v>186</v>
      </c>
    </row>
    <row r="18" spans="1:2" x14ac:dyDescent="0.2">
      <c r="A18" s="11" t="s">
        <v>187</v>
      </c>
      <c r="B18" s="24" t="s">
        <v>188</v>
      </c>
    </row>
    <row r="19" spans="1:2" x14ac:dyDescent="0.2">
      <c r="A19" s="11"/>
      <c r="B19" s="24"/>
    </row>
    <row r="20" spans="1:2" x14ac:dyDescent="0.2">
      <c r="A20" s="20" t="s">
        <v>189</v>
      </c>
      <c r="B20" s="24"/>
    </row>
    <row r="21" spans="1:2" x14ac:dyDescent="0.2">
      <c r="A21" s="11" t="s">
        <v>190</v>
      </c>
      <c r="B21" s="24" t="s">
        <v>191</v>
      </c>
    </row>
    <row r="22" spans="1:2" x14ac:dyDescent="0.2">
      <c r="A22" s="11" t="s">
        <v>192</v>
      </c>
      <c r="B22" s="24" t="s">
        <v>193</v>
      </c>
    </row>
    <row r="23" spans="1:2" x14ac:dyDescent="0.2">
      <c r="A23" s="11" t="s">
        <v>194</v>
      </c>
      <c r="B23" s="24" t="s">
        <v>195</v>
      </c>
    </row>
    <row r="24" spans="1:2" x14ac:dyDescent="0.2">
      <c r="A24" s="11"/>
      <c r="B24" s="24"/>
    </row>
    <row r="25" spans="1:2" x14ac:dyDescent="0.2">
      <c r="A25" s="20"/>
      <c r="B25" s="24"/>
    </row>
    <row r="26" spans="1:2" x14ac:dyDescent="0.2">
      <c r="A26" s="11"/>
      <c r="B26" s="2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All FL Counties 1910</vt:lpstr>
      <vt:lpstr>All FL Counties 1920</vt:lpstr>
      <vt:lpstr>1910-1920 Comparison</vt:lpstr>
      <vt:lpstr>Dade County Deep Dive</vt:lpstr>
      <vt:lpstr>Notes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Eduardo de Sabrit</cp:lastModifiedBy>
  <cp:revision>0</cp:revision>
  <dcterms:created xsi:type="dcterms:W3CDTF">2026-03-16T17:32:44Z</dcterms:created>
  <dcterms:modified xsi:type="dcterms:W3CDTF">2026-03-26T16:13:20Z</dcterms:modified>
  <dc:language>en-US</dc:language>
</cp:coreProperties>
</file>